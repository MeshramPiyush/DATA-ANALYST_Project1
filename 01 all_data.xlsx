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T\DATA ANALYTICS TUTEDUDE\Healthcare risk Stratification app\DATA-ANALYST_Project1\data\"/>
    </mc:Choice>
  </mc:AlternateContent>
  <xr:revisionPtr revIDLastSave="0" documentId="13_ncr:9_{60B43014-7274-4C77-8C21-02E885D7D358}" xr6:coauthVersionLast="47" xr6:coauthVersionMax="47" xr10:uidLastSave="{00000000-0000-0000-0000-000000000000}"/>
  <bookViews>
    <workbookView xWindow="-108" yWindow="-108" windowWidth="23256" windowHeight="13176" xr2:uid="{51D3E5D2-EDBD-4598-944A-FA3F3B77B3ED}"/>
  </bookViews>
  <sheets>
    <sheet name="Sheet4" sheetId="5" r:id="rId1"/>
    <sheet name="Sheet5" sheetId="6" r:id="rId2"/>
    <sheet name="Patients" sheetId="1" r:id="rId3"/>
    <sheet name="Diagnosis" sheetId="2" r:id="rId4"/>
    <sheet name="Outcomes" sheetId="3" r:id="rId5"/>
    <sheet name="Labs" sheetId="4" r:id="rId6"/>
  </sheets>
  <calcPr calcId="0"/>
  <pivotCaches>
    <pivotCache cacheId="4" r:id="rId7"/>
    <pivotCache cacheId="8" r:id="rId8"/>
    <pivotCache cacheId="12" r:id="rId9"/>
  </pivotCaches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</calcChain>
</file>

<file path=xl/sharedStrings.xml><?xml version="1.0" encoding="utf-8"?>
<sst xmlns="http://schemas.openxmlformats.org/spreadsheetml/2006/main" count="1062" uniqueCount="252">
  <si>
    <t>PatientID</t>
  </si>
  <si>
    <t>Name</t>
  </si>
  <si>
    <t>Age</t>
  </si>
  <si>
    <t>Gender</t>
  </si>
  <si>
    <t>DiagnosisID</t>
  </si>
  <si>
    <t>AdmissionDate</t>
  </si>
  <si>
    <t>DischargeDate</t>
  </si>
  <si>
    <t>OutcomeID</t>
  </si>
  <si>
    <t>TreatmentCost</t>
  </si>
  <si>
    <t>Edward Montes</t>
  </si>
  <si>
    <t>M</t>
  </si>
  <si>
    <t>Jessica Zimmerman</t>
  </si>
  <si>
    <t>Gina Alexander</t>
  </si>
  <si>
    <t>Lori Green</t>
  </si>
  <si>
    <t>F</t>
  </si>
  <si>
    <t>Jack Logan</t>
  </si>
  <si>
    <t>Melinda Robinson</t>
  </si>
  <si>
    <t>Sherry Robinson</t>
  </si>
  <si>
    <t>James Watts</t>
  </si>
  <si>
    <t>Jeanne Butler</t>
  </si>
  <si>
    <t>Benjamin Rogers</t>
  </si>
  <si>
    <t>Carol Sanchez</t>
  </si>
  <si>
    <t>Stacy Clark</t>
  </si>
  <si>
    <t>Kimberly Chase</t>
  </si>
  <si>
    <t>Cody Ryan</t>
  </si>
  <si>
    <t>Kimberly Alexander</t>
  </si>
  <si>
    <t>Olivia Roy</t>
  </si>
  <si>
    <t>Sabrina Medina</t>
  </si>
  <si>
    <t>Jennifer Wright</t>
  </si>
  <si>
    <t>Christian Lynch</t>
  </si>
  <si>
    <t>Jorge Castillo</t>
  </si>
  <si>
    <t>Nicholas Wilcox</t>
  </si>
  <si>
    <t>Toni Gomez</t>
  </si>
  <si>
    <t>Emily King</t>
  </si>
  <si>
    <t>Jordan Harris</t>
  </si>
  <si>
    <t>Adriana Rogers</t>
  </si>
  <si>
    <t>Samuel Thompson</t>
  </si>
  <si>
    <t>Brenda Huber</t>
  </si>
  <si>
    <t>Brett Washington</t>
  </si>
  <si>
    <t>Katherine Gonzales</t>
  </si>
  <si>
    <t>Jacqueline Bauer</t>
  </si>
  <si>
    <t>Brittany Walker</t>
  </si>
  <si>
    <t>Tommy Atkinson</t>
  </si>
  <si>
    <t>Miss Kathryn Mitchell</t>
  </si>
  <si>
    <t>Steven Morales</t>
  </si>
  <si>
    <t>Anthony Frederick</t>
  </si>
  <si>
    <t>Beverly Dillon</t>
  </si>
  <si>
    <t>Monica Walker</t>
  </si>
  <si>
    <t>Russell Small</t>
  </si>
  <si>
    <t>Matthew Rios</t>
  </si>
  <si>
    <t>Nicole Vargas</t>
  </si>
  <si>
    <t>Richard Hill</t>
  </si>
  <si>
    <t>Bonnie Herman</t>
  </si>
  <si>
    <t>Nicholas Wright</t>
  </si>
  <si>
    <t>Kelsey Sanchez</t>
  </si>
  <si>
    <t>Deborah Little</t>
  </si>
  <si>
    <t>Mrs. Carol Andrade</t>
  </si>
  <si>
    <t>Carlos Gutierrez</t>
  </si>
  <si>
    <t>Casey Schneider</t>
  </si>
  <si>
    <t>Lisa Frazier</t>
  </si>
  <si>
    <t>Katie Lawson</t>
  </si>
  <si>
    <t>Mary Johnson</t>
  </si>
  <si>
    <t>Michael Maxwell</t>
  </si>
  <si>
    <t>Patrick Mccormick</t>
  </si>
  <si>
    <t>Bruce Jones</t>
  </si>
  <si>
    <t>Austin Huffman</t>
  </si>
  <si>
    <t>Heather Peterson</t>
  </si>
  <si>
    <t>Justin Keller</t>
  </si>
  <si>
    <t>Robert Aguirre</t>
  </si>
  <si>
    <t>Christopher Hoffman</t>
  </si>
  <si>
    <t>Tamara Pacheco</t>
  </si>
  <si>
    <t>Jared Hughes</t>
  </si>
  <si>
    <t>Samantha Peck</t>
  </si>
  <si>
    <t>Jared Jacobs</t>
  </si>
  <si>
    <t>Rachel Johnson</t>
  </si>
  <si>
    <t>Lauren Skinner</t>
  </si>
  <si>
    <t>Tina Rodriguez PhD</t>
  </si>
  <si>
    <t>Shirley Spencer</t>
  </si>
  <si>
    <t>Daniel Livingston</t>
  </si>
  <si>
    <t>Stephen Wright</t>
  </si>
  <si>
    <t>James Leblanc</t>
  </si>
  <si>
    <t>John Dawson</t>
  </si>
  <si>
    <t>Sharon Miller</t>
  </si>
  <si>
    <t>Rhonda Nichols</t>
  </si>
  <si>
    <t>William Mclaughlin</t>
  </si>
  <si>
    <t>Melissa Edwards</t>
  </si>
  <si>
    <t>Joshua Shaw</t>
  </si>
  <si>
    <t>Yolanda Tucker</t>
  </si>
  <si>
    <t>Sarah Anderson</t>
  </si>
  <si>
    <t>Meagan Larson</t>
  </si>
  <si>
    <t>Kelly Huffman</t>
  </si>
  <si>
    <t>Sarah Rivas</t>
  </si>
  <si>
    <t>Erica Mills</t>
  </si>
  <si>
    <t>Theodore Oliver</t>
  </si>
  <si>
    <t>Linda Mitchell</t>
  </si>
  <si>
    <t>Jason Harrington</t>
  </si>
  <si>
    <t>Kim Salas DDS</t>
  </si>
  <si>
    <t>Patrick Cantu</t>
  </si>
  <si>
    <t>Brenda Evans</t>
  </si>
  <si>
    <t>Christopher Burch</t>
  </si>
  <si>
    <t>Stephanie Beard</t>
  </si>
  <si>
    <t>James Boyer</t>
  </si>
  <si>
    <t>Julie Rhodes</t>
  </si>
  <si>
    <t>Jennifer Howard</t>
  </si>
  <si>
    <t>Anthony Rodriguez</t>
  </si>
  <si>
    <t>Alexander Rodgers</t>
  </si>
  <si>
    <t>Joshua Riley</t>
  </si>
  <si>
    <t>Dennis Lynch</t>
  </si>
  <si>
    <t>Amanda Rivera</t>
  </si>
  <si>
    <t>Mark Miller</t>
  </si>
  <si>
    <t>Cindy Rivas</t>
  </si>
  <si>
    <t>Kenneth Holden</t>
  </si>
  <si>
    <t>Veronica Beard</t>
  </si>
  <si>
    <t>Jordan Perry</t>
  </si>
  <si>
    <t>Jaime Jacobs</t>
  </si>
  <si>
    <t>Brenda Hines</t>
  </si>
  <si>
    <t>Nancy Weber</t>
  </si>
  <si>
    <t>Angela Schneider</t>
  </si>
  <si>
    <t>Richard Osborne</t>
  </si>
  <si>
    <t>Autumn Garrett</t>
  </si>
  <si>
    <t>Patrick Webb</t>
  </si>
  <si>
    <t>Mrs. Amanda Bright MD</t>
  </si>
  <si>
    <t>Anthony Marshall</t>
  </si>
  <si>
    <t>Kevin Vaughn</t>
  </si>
  <si>
    <t>Dawn Hicks</t>
  </si>
  <si>
    <t>Jeffrey Norris</t>
  </si>
  <si>
    <t>Antonio Ruiz</t>
  </si>
  <si>
    <t>Sarah Mason</t>
  </si>
  <si>
    <t>Nicholas Lee</t>
  </si>
  <si>
    <t>Dr. Edward Hebert</t>
  </si>
  <si>
    <t>Sara Huffman</t>
  </si>
  <si>
    <t>Ashley Rodriguez</t>
  </si>
  <si>
    <t>Jennifer Ramirez</t>
  </si>
  <si>
    <t>Amanda Richardson</t>
  </si>
  <si>
    <t>Jake Bryan</t>
  </si>
  <si>
    <t>James Barron</t>
  </si>
  <si>
    <t>Carmen Rosales</t>
  </si>
  <si>
    <t>Joseph Medina</t>
  </si>
  <si>
    <t>Nancy Mcmahon</t>
  </si>
  <si>
    <t>Lindsey Vargas</t>
  </si>
  <si>
    <t>Rhonda Nguyen</t>
  </si>
  <si>
    <t>Charles Martin</t>
  </si>
  <si>
    <t>Christina Curtis</t>
  </si>
  <si>
    <t>Mary Jones</t>
  </si>
  <si>
    <t>Christopher Miller</t>
  </si>
  <si>
    <t>Brian Brown</t>
  </si>
  <si>
    <t>Amanda Mason</t>
  </si>
  <si>
    <t>Jordan Rodgers</t>
  </si>
  <si>
    <t>Jessica Watson</t>
  </si>
  <si>
    <t>Edward Thornton</t>
  </si>
  <si>
    <t>Randy Gutierrez</t>
  </si>
  <si>
    <t>Victoria Cole</t>
  </si>
  <si>
    <t>Tracy Chavez</t>
  </si>
  <si>
    <t>Kimberly Gregory</t>
  </si>
  <si>
    <t>William Webb</t>
  </si>
  <si>
    <t>Donna Peterson</t>
  </si>
  <si>
    <t>Jessica Long</t>
  </si>
  <si>
    <t>Jamie Williams</t>
  </si>
  <si>
    <t>Guy Shepard</t>
  </si>
  <si>
    <t>Karen Mcbride</t>
  </si>
  <si>
    <t>Jeffery House</t>
  </si>
  <si>
    <t>Natalie Skinner</t>
  </si>
  <si>
    <t>Devin James</t>
  </si>
  <si>
    <t>Tami Warner</t>
  </si>
  <si>
    <t>Mrs. Carol Chambers</t>
  </si>
  <si>
    <t>Traci Reyes</t>
  </si>
  <si>
    <t>Rhonda Robertson</t>
  </si>
  <si>
    <t>Tracy Wood</t>
  </si>
  <si>
    <t>Shannon Stewart</t>
  </si>
  <si>
    <t>Juan Malone</t>
  </si>
  <si>
    <t>Kristin Chapman</t>
  </si>
  <si>
    <t>Ann Adams</t>
  </si>
  <si>
    <t>Jesus Coleman</t>
  </si>
  <si>
    <t>Shawn Burke</t>
  </si>
  <si>
    <t>Ruth Strong</t>
  </si>
  <si>
    <t>Michael Warren</t>
  </si>
  <si>
    <t>Raymond Chavez</t>
  </si>
  <si>
    <t>Scott Peterson</t>
  </si>
  <si>
    <t>Frank Reid</t>
  </si>
  <si>
    <t>Shawna Webb</t>
  </si>
  <si>
    <t>Gregory Murphy</t>
  </si>
  <si>
    <t>Timothy Greene</t>
  </si>
  <si>
    <t>Kimberly Brady</t>
  </si>
  <si>
    <t>Mary Fowler</t>
  </si>
  <si>
    <t>Alexander Bradshaw</t>
  </si>
  <si>
    <t>Jonathan Baird</t>
  </si>
  <si>
    <t>Rebecca Baker</t>
  </si>
  <si>
    <t>Jennifer Sanchez</t>
  </si>
  <si>
    <t>Rebecca Castaneda</t>
  </si>
  <si>
    <t>Darren Scott</t>
  </si>
  <si>
    <t>Nicole Hall</t>
  </si>
  <si>
    <t>Gary Wade</t>
  </si>
  <si>
    <t>Kristen Wood</t>
  </si>
  <si>
    <t>Sean Valenzuela</t>
  </si>
  <si>
    <t>James Smith</t>
  </si>
  <si>
    <t>Marcus Adams</t>
  </si>
  <si>
    <t>Melissa Torres</t>
  </si>
  <si>
    <t>Robert Wade</t>
  </si>
  <si>
    <t>Benjamin White</t>
  </si>
  <si>
    <t>James Jacobs</t>
  </si>
  <si>
    <t>Kristin Underwood</t>
  </si>
  <si>
    <t>David Moore</t>
  </si>
  <si>
    <t>Francisco Lester</t>
  </si>
  <si>
    <t>Nicholas Jennings</t>
  </si>
  <si>
    <t>Andrew Hawkins</t>
  </si>
  <si>
    <t>Jonathan Potter</t>
  </si>
  <si>
    <t>Shelly Dominguez</t>
  </si>
  <si>
    <t>Destiny Johnson</t>
  </si>
  <si>
    <t>Catherine Case</t>
  </si>
  <si>
    <t>Dennis Wolfe</t>
  </si>
  <si>
    <t>Gregory Bates</t>
  </si>
  <si>
    <t>DiagnosisName</t>
  </si>
  <si>
    <t>Hypertension</t>
  </si>
  <si>
    <t>Diabetes</t>
  </si>
  <si>
    <t>Heart Disease</t>
  </si>
  <si>
    <t>Asthma</t>
  </si>
  <si>
    <t>Stroke</t>
  </si>
  <si>
    <t>COPD</t>
  </si>
  <si>
    <t>Cancer</t>
  </si>
  <si>
    <t>Arthritis</t>
  </si>
  <si>
    <t>Kidney Disease</t>
  </si>
  <si>
    <t>Liver Disease</t>
  </si>
  <si>
    <t>OutcomeName</t>
  </si>
  <si>
    <t>Recovered</t>
  </si>
  <si>
    <t>Complicated</t>
  </si>
  <si>
    <t>Deceased</t>
  </si>
  <si>
    <t>LabID</t>
  </si>
  <si>
    <t>TestName</t>
  </si>
  <si>
    <t>Result</t>
  </si>
  <si>
    <t>NormalRange</t>
  </si>
  <si>
    <t>Blood Pressure</t>
  </si>
  <si>
    <t>150-200</t>
  </si>
  <si>
    <t>Cholesterol</t>
  </si>
  <si>
    <t>13-17</t>
  </si>
  <si>
    <t>0.6-1.2</t>
  </si>
  <si>
    <t>Blood Sugar</t>
  </si>
  <si>
    <t>120/80</t>
  </si>
  <si>
    <t>Creatinine</t>
  </si>
  <si>
    <t>Hemoglobin</t>
  </si>
  <si>
    <t>20-50</t>
  </si>
  <si>
    <t>Vitamin D</t>
  </si>
  <si>
    <t>70-120</t>
  </si>
  <si>
    <t>Length of stay</t>
  </si>
  <si>
    <t>complicated</t>
  </si>
  <si>
    <t>Abnormal Test range</t>
  </si>
  <si>
    <t>Testname</t>
  </si>
  <si>
    <t>Risk Score</t>
  </si>
  <si>
    <t>Row Labels</t>
  </si>
  <si>
    <t>Grand Total</t>
  </si>
  <si>
    <t>Sum of TreatmentCost</t>
  </si>
  <si>
    <t>Sum of DiagnosisID</t>
  </si>
  <si>
    <t>Count of DiagnosisID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</si>
</sst>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[all_data.xlsx]Sheet4!PivotTable1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Sheet4!$A$4:$A$8</c:f>
              <c:strCache>
                <c:ptCount val="4"/>
                <c:pt idx="0">
                  <c:v>Amanda Richardson</c:v>
                </c:pt>
                <c:pt idx="1">
                  <c:v>Nancy Mcmahon</c:v>
                </c:pt>
                <c:pt idx="2">
                  <c:v>Shawn Burke</c:v>
                </c:pt>
                <c:pt idx="3">
                  <c:v>Shawna Webb</c:v>
                </c:pt>
              </c:strCache>
            </c:strRef>
          </c:cat>
          <c:val>
            <c:numRef>
              <c:f>Sheet4!$B$4:$B$8</c:f>
              <c:numCache>
                <c:formatCode>General</c:formatCode>
                <c:ptCount val="4"/>
                <c:pt idx="0">
                  <c:v>2951</c:v>
                </c:pt>
                <c:pt idx="1">
                  <c:v>4332</c:v>
                </c:pt>
                <c:pt idx="2">
                  <c:v>6064</c:v>
                </c:pt>
                <c:pt idx="3">
                  <c:v>5462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C0-4750-9ED9-ED11980BCE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3120512"/>
        <c:axId val="1169209520"/>
      </c:barChart>
      <c:catAx>
        <c:axId val="1233120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9209520"/>
        <c:crosses val="autoZero"/>
        <c:auto val="1"/>
        <c:lblAlgn val="ctr"/>
        <c:lblOffset val="100"/>
        <c:noMultiLvlLbl val="0"/>
      </c:catAx>
      <c:valAx>
        <c:axId val="1169209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3120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495300</xdr:colOff>
      <xdr:row>2</xdr:row>
      <xdr:rowOff>64770</xdr:rowOff>
    </xdr:from>
    <xdr:to>
      <xdr:col>11</xdr:col>
      <xdr:colOff>190500</xdr:colOff>
      <xdr:row>17</xdr:row>
      <xdr:rowOff>64770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8000D9-F32C-AF36-F85B-EA0D266DD6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97.031181481485" createdVersion="8" refreshedVersion="8" minRefreshableVersion="3" recordCount="200" xr:uid="{05D3924F-06CB-452D-9BDC-F4571E426B8F}">
  <cacheSource type="worksheet">
    <worksheetSource ref="A1:O201" sheet="Patients"/>
  </cacheSource>
  <cacheFields count="15">
    <cacheField name="PatientID" numFmtId="0">
      <sharedItems containsSemiMixedTypes="0" containsString="0" containsNumber="1" containsInteger="1" minValue="1" maxValue="200"/>
    </cacheField>
    <cacheField name="Name" numFmtId="0">
      <sharedItems count="200">
        <s v="Edward Montes"/>
        <s v="Jessica Zimmerman"/>
        <s v="Gina Alexander"/>
        <s v="Lori Green"/>
        <s v="Jack Logan"/>
        <s v="Melinda Robinson"/>
        <s v="Sherry Robinson"/>
        <s v="James Watts"/>
        <s v="Jeanne Butler"/>
        <s v="Benjamin Rogers"/>
        <s v="Carol Sanchez"/>
        <s v="Stacy Clark"/>
        <s v="Kimberly Chase"/>
        <s v="Cody Ryan"/>
        <s v="Kimberly Alexander"/>
        <s v="Olivia Roy"/>
        <s v="Sabrina Medina"/>
        <s v="Jennifer Wright"/>
        <s v="Christian Lynch"/>
        <s v="Jorge Castillo"/>
        <s v="Nicholas Wilcox"/>
        <s v="Toni Gomez"/>
        <s v="Emily King"/>
        <s v="Jordan Harris"/>
        <s v="Adriana Rogers"/>
        <s v="Samuel Thompson"/>
        <s v="Brenda Huber"/>
        <s v="Brett Washington"/>
        <s v="Katherine Gonzales"/>
        <s v="Jacqueline Bauer"/>
        <s v="Brittany Walker"/>
        <s v="Tommy Atkinson"/>
        <s v="Miss Kathryn Mitchell"/>
        <s v="Steven Morales"/>
        <s v="Anthony Frederick"/>
        <s v="Beverly Dillon"/>
        <s v="Monica Walker"/>
        <s v="Russell Small"/>
        <s v="Matthew Rios"/>
        <s v="Nicole Vargas"/>
        <s v="Richard Hill"/>
        <s v="Bonnie Herman"/>
        <s v="Nicholas Wright"/>
        <s v="Kelsey Sanchez"/>
        <s v="Deborah Little"/>
        <s v="Mrs. Carol Andrade"/>
        <s v="Carlos Gutierrez"/>
        <s v="Casey Schneider"/>
        <s v="Lisa Frazier"/>
        <s v="Katie Lawson"/>
        <s v="Mary Johnson"/>
        <s v="Michael Maxwell"/>
        <s v="Patrick Mccormick"/>
        <s v="Bruce Jones"/>
        <s v="Austin Huffman"/>
        <s v="Heather Peterson"/>
        <s v="Justin Keller"/>
        <s v="Robert Aguirre"/>
        <s v="Christopher Hoffman"/>
        <s v="Tamara Pacheco"/>
        <s v="Jared Hughes"/>
        <s v="Samantha Peck"/>
        <s v="Jared Jacobs"/>
        <s v="Rachel Johnson"/>
        <s v="Lauren Skinner"/>
        <s v="Tina Rodriguez PhD"/>
        <s v="Shirley Spencer"/>
        <s v="Daniel Livingston"/>
        <s v="Stephen Wright"/>
        <s v="James Leblanc"/>
        <s v="John Dawson"/>
        <s v="Sharon Miller"/>
        <s v="Rhonda Nichols"/>
        <s v="William Mclaughlin"/>
        <s v="Melissa Edwards"/>
        <s v="Joshua Shaw"/>
        <s v="Yolanda Tucker"/>
        <s v="Sarah Anderson"/>
        <s v="Meagan Larson"/>
        <s v="Kelly Huffman"/>
        <s v="Sarah Rivas"/>
        <s v="Erica Mills"/>
        <s v="Theodore Oliver"/>
        <s v="Linda Mitchell"/>
        <s v="Jason Harrington"/>
        <s v="Kim Salas DDS"/>
        <s v="Patrick Cantu"/>
        <s v="Brenda Evans"/>
        <s v="Christopher Burch"/>
        <s v="Stephanie Beard"/>
        <s v="James Boyer"/>
        <s v="Julie Rhodes"/>
        <s v="Jennifer Howard"/>
        <s v="Anthony Rodriguez"/>
        <s v="Alexander Rodgers"/>
        <s v="Joshua Riley"/>
        <s v="Dennis Lynch"/>
        <s v="Amanda Rivera"/>
        <s v="Mark Miller"/>
        <s v="Cindy Rivas"/>
        <s v="Kenneth Holden"/>
        <s v="Veronica Beard"/>
        <s v="Jordan Perry"/>
        <s v="Jaime Jacobs"/>
        <s v="Brenda Hines"/>
        <s v="Nancy Weber"/>
        <s v="Angela Schneider"/>
        <s v="Richard Osborne"/>
        <s v="Autumn Garrett"/>
        <s v="Patrick Webb"/>
        <s v="Mrs. Amanda Bright MD"/>
        <s v="Anthony Marshall"/>
        <s v="Kevin Vaughn"/>
        <s v="Dawn Hicks"/>
        <s v="Jeffrey Norris"/>
        <s v="Antonio Ruiz"/>
        <s v="Sarah Mason"/>
        <s v="Nicholas Lee"/>
        <s v="Dr. Edward Hebert"/>
        <s v="Sara Huffman"/>
        <s v="Ashley Rodriguez"/>
        <s v="Jennifer Ramirez"/>
        <s v="Amanda Richardson"/>
        <s v="Jake Bryan"/>
        <s v="James Barron"/>
        <s v="Carmen Rosales"/>
        <s v="Joseph Medina"/>
        <s v="Nancy Mcmahon"/>
        <s v="Lindsey Vargas"/>
        <s v="Rhonda Nguyen"/>
        <s v="Charles Martin"/>
        <s v="Christina Curtis"/>
        <s v="Mary Jones"/>
        <s v="Christopher Miller"/>
        <s v="Brian Brown"/>
        <s v="Amanda Mason"/>
        <s v="Jordan Rodgers"/>
        <s v="Jessica Watson"/>
        <s v="Edward Thornton"/>
        <s v="Randy Gutierrez"/>
        <s v="Victoria Cole"/>
        <s v="Tracy Chavez"/>
        <s v="Kimberly Gregory"/>
        <s v="William Webb"/>
        <s v="Donna Peterson"/>
        <s v="Jessica Long"/>
        <s v="Jamie Williams"/>
        <s v="Guy Shepard"/>
        <s v="Karen Mcbride"/>
        <s v="Jeffery House"/>
        <s v="Natalie Skinner"/>
        <s v="Devin James"/>
        <s v="Tami Warner"/>
        <s v="Mrs. Carol Chambers"/>
        <s v="Traci Reyes"/>
        <s v="Rhonda Robertson"/>
        <s v="Tracy Wood"/>
        <s v="Shannon Stewart"/>
        <s v="Juan Malone"/>
        <s v="Kristin Chapman"/>
        <s v="Ann Adams"/>
        <s v="Jesus Coleman"/>
        <s v="Shawn Burke"/>
        <s v="Ruth Strong"/>
        <s v="Michael Warren"/>
        <s v="Raymond Chavez"/>
        <s v="Scott Peterson"/>
        <s v="Frank Reid"/>
        <s v="Shawna Webb"/>
        <s v="Gregory Murphy"/>
        <s v="Timothy Greene"/>
        <s v="Kimberly Brady"/>
        <s v="Mary Fowler"/>
        <s v="Alexander Bradshaw"/>
        <s v="Jonathan Baird"/>
        <s v="Rebecca Baker"/>
        <s v="Jennifer Sanchez"/>
        <s v="Rebecca Castaneda"/>
        <s v="Darren Scott"/>
        <s v="Nicole Hall"/>
        <s v="Gary Wade"/>
        <s v="Kristen Wood"/>
        <s v="Sean Valenzuela"/>
        <s v="James Smith"/>
        <s v="Marcus Adams"/>
        <s v="Melissa Torres"/>
        <s v="Robert Wade"/>
        <s v="Benjamin White"/>
        <s v="James Jacobs"/>
        <s v="Kristin Underwood"/>
        <s v="David Moore"/>
        <s v="Francisco Lester"/>
        <s v="Nicholas Jennings"/>
        <s v="Andrew Hawkins"/>
        <s v="Jonathan Potter"/>
        <s v="Shelly Dominguez"/>
        <s v="Destiny Johnson"/>
        <s v="Catherine Case"/>
        <s v="Dennis Wolfe"/>
        <s v="Gregory Bates"/>
      </sharedItems>
    </cacheField>
    <cacheField name="Age" numFmtId="0">
      <sharedItems containsSemiMixedTypes="0" containsString="0" containsNumber="1" containsInteger="1" minValue="30" maxValue="89" count="58">
        <n v="68"/>
        <n v="81"/>
        <n v="58"/>
        <n v="44"/>
        <n v="72"/>
        <n v="37"/>
        <n v="50"/>
        <n v="87"/>
        <n v="48"/>
        <n v="52"/>
        <n v="40"/>
        <n v="53"/>
        <n v="82"/>
        <n v="65"/>
        <n v="69"/>
        <n v="32"/>
        <n v="51"/>
        <n v="31"/>
        <n v="73"/>
        <n v="59"/>
        <n v="67"/>
        <n v="89"/>
        <n v="62"/>
        <n v="41"/>
        <n v="54"/>
        <n v="78"/>
        <n v="56"/>
        <n v="88"/>
        <n v="71"/>
        <n v="57"/>
        <n v="45"/>
        <n v="76"/>
        <n v="80"/>
        <n v="84"/>
        <n v="86"/>
        <n v="66"/>
        <n v="36"/>
        <n v="38"/>
        <n v="47"/>
        <n v="33"/>
        <n v="43"/>
        <n v="79"/>
        <n v="55"/>
        <n v="49"/>
        <n v="64"/>
        <n v="46"/>
        <n v="35"/>
        <n v="83"/>
        <n v="63"/>
        <n v="39"/>
        <n v="60"/>
        <n v="77"/>
        <n v="74"/>
        <n v="70"/>
        <n v="30"/>
        <n v="34"/>
        <n v="42"/>
        <n v="61"/>
      </sharedItems>
    </cacheField>
    <cacheField name="Gender" numFmtId="0">
      <sharedItems/>
    </cacheField>
    <cacheField name="DiagnosisID" numFmtId="0">
      <sharedItems containsSemiMixedTypes="0" containsString="0" containsNumber="1" containsInteger="1" minValue="1" maxValue="10"/>
    </cacheField>
    <cacheField name="AdmissionDate" numFmtId="0">
      <sharedItems containsSemiMixedTypes="0" containsString="0" containsNumber="1" containsInteger="1" minValue="45658" maxValue="45838"/>
    </cacheField>
    <cacheField name="DischargeDate" numFmtId="0">
      <sharedItems containsSemiMixedTypes="0" containsString="0" containsNumber="1" containsInteger="1" minValue="45671" maxValue="45848"/>
    </cacheField>
    <cacheField name="OutcomeID" numFmtId="0">
      <sharedItems containsSemiMixedTypes="0" containsString="0" containsNumber="1" containsInteger="1" minValue="1" maxValue="3"/>
    </cacheField>
    <cacheField name="TreatmentCost" numFmtId="0">
      <sharedItems containsSemiMixedTypes="0" containsString="0" containsNumber="1" containsInteger="1" minValue="2054" maxValue="9973"/>
    </cacheField>
    <cacheField name="DiagnosisName" numFmtId="0">
      <sharedItems/>
    </cacheField>
    <cacheField name="OutcomeName" numFmtId="0">
      <sharedItems/>
    </cacheField>
    <cacheField name="Length of stay" numFmtId="0">
      <sharedItems containsSemiMixedTypes="0" containsString="0" containsNumber="1" containsInteger="1" minValue="1" maxValue="169"/>
    </cacheField>
    <cacheField name="Testname" numFmtId="0">
      <sharedItems/>
    </cacheField>
    <cacheField name="Abnormal Test range" numFmtId="0">
      <sharedItems/>
    </cacheField>
    <cacheField name="Risk Scor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97.033835069444" createdVersion="8" refreshedVersion="8" minRefreshableVersion="3" recordCount="200" xr:uid="{3E99D63F-CFC5-4FA5-8839-9405116D8004}">
  <cacheSource type="worksheet">
    <worksheetSource ref="A1:J201" sheet="Patients"/>
  </cacheSource>
  <cacheFields count="10">
    <cacheField name="PatientID" numFmtId="0">
      <sharedItems containsSemiMixedTypes="0" containsString="0" containsNumber="1" containsInteger="1" minValue="1" maxValue="200"/>
    </cacheField>
    <cacheField name="Name" numFmtId="0">
      <sharedItems count="200">
        <s v="Edward Montes"/>
        <s v="Jessica Zimmerman"/>
        <s v="Gina Alexander"/>
        <s v="Lori Green"/>
        <s v="Jack Logan"/>
        <s v="Melinda Robinson"/>
        <s v="Sherry Robinson"/>
        <s v="James Watts"/>
        <s v="Jeanne Butler"/>
        <s v="Benjamin Rogers"/>
        <s v="Carol Sanchez"/>
        <s v="Stacy Clark"/>
        <s v="Kimberly Chase"/>
        <s v="Cody Ryan"/>
        <s v="Kimberly Alexander"/>
        <s v="Olivia Roy"/>
        <s v="Sabrina Medina"/>
        <s v="Jennifer Wright"/>
        <s v="Christian Lynch"/>
        <s v="Jorge Castillo"/>
        <s v="Nicholas Wilcox"/>
        <s v="Toni Gomez"/>
        <s v="Emily King"/>
        <s v="Jordan Harris"/>
        <s v="Adriana Rogers"/>
        <s v="Samuel Thompson"/>
        <s v="Brenda Huber"/>
        <s v="Brett Washington"/>
        <s v="Katherine Gonzales"/>
        <s v="Jacqueline Bauer"/>
        <s v="Brittany Walker"/>
        <s v="Tommy Atkinson"/>
        <s v="Miss Kathryn Mitchell"/>
        <s v="Steven Morales"/>
        <s v="Anthony Frederick"/>
        <s v="Beverly Dillon"/>
        <s v="Monica Walker"/>
        <s v="Russell Small"/>
        <s v="Matthew Rios"/>
        <s v="Nicole Vargas"/>
        <s v="Richard Hill"/>
        <s v="Bonnie Herman"/>
        <s v="Nicholas Wright"/>
        <s v="Kelsey Sanchez"/>
        <s v="Deborah Little"/>
        <s v="Mrs. Carol Andrade"/>
        <s v="Carlos Gutierrez"/>
        <s v="Casey Schneider"/>
        <s v="Lisa Frazier"/>
        <s v="Katie Lawson"/>
        <s v="Mary Johnson"/>
        <s v="Michael Maxwell"/>
        <s v="Patrick Mccormick"/>
        <s v="Bruce Jones"/>
        <s v="Austin Huffman"/>
        <s v="Heather Peterson"/>
        <s v="Justin Keller"/>
        <s v="Robert Aguirre"/>
        <s v="Christopher Hoffman"/>
        <s v="Tamara Pacheco"/>
        <s v="Jared Hughes"/>
        <s v="Samantha Peck"/>
        <s v="Jared Jacobs"/>
        <s v="Rachel Johnson"/>
        <s v="Lauren Skinner"/>
        <s v="Tina Rodriguez PhD"/>
        <s v="Shirley Spencer"/>
        <s v="Daniel Livingston"/>
        <s v="Stephen Wright"/>
        <s v="James Leblanc"/>
        <s v="John Dawson"/>
        <s v="Sharon Miller"/>
        <s v="Rhonda Nichols"/>
        <s v="William Mclaughlin"/>
        <s v="Melissa Edwards"/>
        <s v="Joshua Shaw"/>
        <s v="Yolanda Tucker"/>
        <s v="Sarah Anderson"/>
        <s v="Meagan Larson"/>
        <s v="Kelly Huffman"/>
        <s v="Sarah Rivas"/>
        <s v="Erica Mills"/>
        <s v="Theodore Oliver"/>
        <s v="Linda Mitchell"/>
        <s v="Jason Harrington"/>
        <s v="Kim Salas DDS"/>
        <s v="Patrick Cantu"/>
        <s v="Brenda Evans"/>
        <s v="Christopher Burch"/>
        <s v="Stephanie Beard"/>
        <s v="James Boyer"/>
        <s v="Julie Rhodes"/>
        <s v="Jennifer Howard"/>
        <s v="Anthony Rodriguez"/>
        <s v="Alexander Rodgers"/>
        <s v="Joshua Riley"/>
        <s v="Dennis Lynch"/>
        <s v="Amanda Rivera"/>
        <s v="Mark Miller"/>
        <s v="Cindy Rivas"/>
        <s v="Kenneth Holden"/>
        <s v="Veronica Beard"/>
        <s v="Jordan Perry"/>
        <s v="Jaime Jacobs"/>
        <s v="Brenda Hines"/>
        <s v="Nancy Weber"/>
        <s v="Angela Schneider"/>
        <s v="Richard Osborne"/>
        <s v="Autumn Garrett"/>
        <s v="Patrick Webb"/>
        <s v="Mrs. Amanda Bright MD"/>
        <s v="Anthony Marshall"/>
        <s v="Kevin Vaughn"/>
        <s v="Dawn Hicks"/>
        <s v="Jeffrey Norris"/>
        <s v="Antonio Ruiz"/>
        <s v="Sarah Mason"/>
        <s v="Nicholas Lee"/>
        <s v="Dr. Edward Hebert"/>
        <s v="Sara Huffman"/>
        <s v="Ashley Rodriguez"/>
        <s v="Jennifer Ramirez"/>
        <s v="Amanda Richardson"/>
        <s v="Jake Bryan"/>
        <s v="James Barron"/>
        <s v="Carmen Rosales"/>
        <s v="Joseph Medina"/>
        <s v="Nancy Mcmahon"/>
        <s v="Lindsey Vargas"/>
        <s v="Rhonda Nguyen"/>
        <s v="Charles Martin"/>
        <s v="Christina Curtis"/>
        <s v="Mary Jones"/>
        <s v="Christopher Miller"/>
        <s v="Brian Brown"/>
        <s v="Amanda Mason"/>
        <s v="Jordan Rodgers"/>
        <s v="Jessica Watson"/>
        <s v="Edward Thornton"/>
        <s v="Randy Gutierrez"/>
        <s v="Victoria Cole"/>
        <s v="Tracy Chavez"/>
        <s v="Kimberly Gregory"/>
        <s v="William Webb"/>
        <s v="Donna Peterson"/>
        <s v="Jessica Long"/>
        <s v="Jamie Williams"/>
        <s v="Guy Shepard"/>
        <s v="Karen Mcbride"/>
        <s v="Jeffery House"/>
        <s v="Natalie Skinner"/>
        <s v="Devin James"/>
        <s v="Tami Warner"/>
        <s v="Mrs. Carol Chambers"/>
        <s v="Traci Reyes"/>
        <s v="Rhonda Robertson"/>
        <s v="Tracy Wood"/>
        <s v="Shannon Stewart"/>
        <s v="Juan Malone"/>
        <s v="Kristin Chapman"/>
        <s v="Ann Adams"/>
        <s v="Jesus Coleman"/>
        <s v="Shawn Burke"/>
        <s v="Ruth Strong"/>
        <s v="Michael Warren"/>
        <s v="Raymond Chavez"/>
        <s v="Scott Peterson"/>
        <s v="Frank Reid"/>
        <s v="Shawna Webb"/>
        <s v="Gregory Murphy"/>
        <s v="Timothy Greene"/>
        <s v="Kimberly Brady"/>
        <s v="Mary Fowler"/>
        <s v="Alexander Bradshaw"/>
        <s v="Jonathan Baird"/>
        <s v="Rebecca Baker"/>
        <s v="Jennifer Sanchez"/>
        <s v="Rebecca Castaneda"/>
        <s v="Darren Scott"/>
        <s v="Nicole Hall"/>
        <s v="Gary Wade"/>
        <s v="Kristen Wood"/>
        <s v="Sean Valenzuela"/>
        <s v="James Smith"/>
        <s v="Marcus Adams"/>
        <s v="Melissa Torres"/>
        <s v="Robert Wade"/>
        <s v="Benjamin White"/>
        <s v="James Jacobs"/>
        <s v="Kristin Underwood"/>
        <s v="David Moore"/>
        <s v="Francisco Lester"/>
        <s v="Nicholas Jennings"/>
        <s v="Andrew Hawkins"/>
        <s v="Jonathan Potter"/>
        <s v="Shelly Dominguez"/>
        <s v="Destiny Johnson"/>
        <s v="Catherine Case"/>
        <s v="Dennis Wolfe"/>
        <s v="Gregory Bates"/>
      </sharedItems>
    </cacheField>
    <cacheField name="Age" numFmtId="0">
      <sharedItems containsSemiMixedTypes="0" containsString="0" containsNumber="1" containsInteger="1" minValue="30" maxValue="89"/>
    </cacheField>
    <cacheField name="Gender" numFmtId="0">
      <sharedItems/>
    </cacheField>
    <cacheField name="DiagnosisID" numFmtId="0">
      <sharedItems containsSemiMixedTypes="0" containsString="0" containsNumber="1" containsInteger="1" minValue="1" maxValue="10"/>
    </cacheField>
    <cacheField name="AdmissionDate" numFmtId="0">
      <sharedItems containsSemiMixedTypes="0" containsString="0" containsNumber="1" containsInteger="1" minValue="45658" maxValue="45838"/>
    </cacheField>
    <cacheField name="DischargeDate" numFmtId="0">
      <sharedItems containsSemiMixedTypes="0" containsString="0" containsNumber="1" containsInteger="1" minValue="45671" maxValue="45848"/>
    </cacheField>
    <cacheField name="OutcomeID" numFmtId="0">
      <sharedItems containsSemiMixedTypes="0" containsString="0" containsNumber="1" containsInteger="1" minValue="1" maxValue="3"/>
    </cacheField>
    <cacheField name="TreatmentCost" numFmtId="0">
      <sharedItems containsSemiMixedTypes="0" containsString="0" containsNumber="1" containsInteger="1" minValue="2054" maxValue="9973"/>
    </cacheField>
    <cacheField name="DiagnosisNam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97.034740509262" createdVersion="8" refreshedVersion="8" minRefreshableVersion="3" recordCount="10" xr:uid="{DBDB4932-1265-4E2F-AE10-D18653363889}">
  <cacheSource type="worksheet">
    <worksheetSource ref="A1:B11" sheet="Diagnosis"/>
  </cacheSource>
  <cacheFields count="2">
    <cacheField name="DiagnosisID" numFmtId="0">
      <sharedItems containsSemiMixedTypes="0" containsString="0" containsNumber="1" containsInteger="1" minValue="1" maxValue="10"/>
    </cacheField>
    <cacheField name="DiagnosisName" numFmtId="0">
      <sharedItems count="10">
        <s v="Hypertension"/>
        <s v="Diabetes"/>
        <s v="Heart Disease"/>
        <s v="Asthma"/>
        <s v="Stroke"/>
        <s v="COPD"/>
        <s v="Cancer"/>
        <s v="Arthritis"/>
        <s v="Kidney Disease"/>
        <s v="Liver Diseas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n v="1"/>
    <x v="0"/>
    <x v="0"/>
    <s v="M"/>
    <n v="2"/>
    <n v="45738"/>
    <n v="45751"/>
    <n v="1"/>
    <n v="4443"/>
    <s v="Diabetes"/>
    <s v="Recovered"/>
    <n v="13"/>
    <s v="Blood Pressure"/>
    <s v="normal"/>
    <s v="High Risk"/>
  </r>
  <r>
    <n v="2"/>
    <x v="1"/>
    <x v="1"/>
    <s v="M"/>
    <n v="2"/>
    <n v="45747"/>
    <n v="45749"/>
    <n v="2"/>
    <n v="4265"/>
    <s v="Diabetes"/>
    <s v="Complicated"/>
    <n v="2"/>
    <s v="Cholesterol"/>
    <s v="High"/>
    <s v="High Risk"/>
  </r>
  <r>
    <n v="3"/>
    <x v="2"/>
    <x v="2"/>
    <s v="M"/>
    <n v="6"/>
    <n v="45665"/>
    <n v="45729"/>
    <n v="1"/>
    <n v="4188"/>
    <s v="COPD"/>
    <s v="Recovered"/>
    <n v="64"/>
    <s v="Blood Pressure"/>
    <s v="High"/>
    <s v="Low Risk"/>
  </r>
  <r>
    <n v="4"/>
    <x v="3"/>
    <x v="3"/>
    <s v="F"/>
    <n v="3"/>
    <n v="45750"/>
    <n v="45752"/>
    <n v="1"/>
    <n v="9783"/>
    <s v="Heart Disease"/>
    <s v="Recovered"/>
    <n v="2"/>
    <s v="Cholesterol"/>
    <s v="normal"/>
    <s v="Low Risk"/>
  </r>
  <r>
    <n v="5"/>
    <x v="4"/>
    <x v="4"/>
    <s v="F"/>
    <n v="9"/>
    <n v="45811"/>
    <n v="45812"/>
    <n v="1"/>
    <n v="5005"/>
    <s v="Kidney Disease"/>
    <s v="Recovered"/>
    <n v="1"/>
    <s v="Blood Sugar"/>
    <s v="High"/>
    <s v="High Risk"/>
  </r>
  <r>
    <n v="6"/>
    <x v="5"/>
    <x v="5"/>
    <s v="F"/>
    <n v="4"/>
    <n v="45747"/>
    <n v="45752"/>
    <n v="1"/>
    <n v="5281"/>
    <s v="Asthma"/>
    <s v="Recovered"/>
    <n v="5"/>
    <s v="Creatinine"/>
    <s v="normal"/>
    <s v="Low Risk"/>
  </r>
  <r>
    <n v="7"/>
    <x v="6"/>
    <x v="6"/>
    <s v="F"/>
    <n v="1"/>
    <n v="45819"/>
    <n v="45843"/>
    <n v="2"/>
    <n v="2984"/>
    <s v="Hypertension"/>
    <s v="Complicated"/>
    <n v="24"/>
    <s v="Blood Pressure"/>
    <s v="High"/>
    <s v="High Risk"/>
  </r>
  <r>
    <n v="8"/>
    <x v="7"/>
    <x v="0"/>
    <s v="M"/>
    <n v="4"/>
    <n v="45772"/>
    <n v="45827"/>
    <n v="1"/>
    <n v="9136"/>
    <s v="Asthma"/>
    <s v="Recovered"/>
    <n v="55"/>
    <s v="Hemoglobin"/>
    <s v="High"/>
    <s v="High Risk"/>
  </r>
  <r>
    <n v="9"/>
    <x v="8"/>
    <x v="7"/>
    <s v="F"/>
    <n v="1"/>
    <n v="45762"/>
    <n v="45764"/>
    <n v="2"/>
    <n v="9790"/>
    <s v="Hypertension"/>
    <s v="Complicated"/>
    <n v="2"/>
    <s v="Hemoglobin"/>
    <s v="normal"/>
    <s v="High Risk"/>
  </r>
  <r>
    <n v="10"/>
    <x v="9"/>
    <x v="8"/>
    <s v="M"/>
    <n v="5"/>
    <n v="45792"/>
    <n v="45796"/>
    <n v="2"/>
    <n v="3639"/>
    <s v="Stroke"/>
    <s v="Complicated"/>
    <n v="4"/>
    <s v="Vitamin D"/>
    <s v="High"/>
    <s v="High Risk"/>
  </r>
  <r>
    <n v="11"/>
    <x v="10"/>
    <x v="9"/>
    <s v="M"/>
    <n v="4"/>
    <n v="45715"/>
    <n v="45765"/>
    <n v="3"/>
    <n v="2827"/>
    <s v="Asthma"/>
    <s v="Deceased"/>
    <n v="50"/>
    <s v="Cholesterol"/>
    <s v="High"/>
    <s v="High Risk"/>
  </r>
  <r>
    <n v="12"/>
    <x v="11"/>
    <x v="10"/>
    <s v="F"/>
    <n v="8"/>
    <n v="45771"/>
    <n v="45795"/>
    <n v="2"/>
    <n v="4730"/>
    <s v="Arthritis"/>
    <s v="Complicated"/>
    <n v="24"/>
    <s v="Blood Pressure"/>
    <s v="High"/>
    <s v="High Risk"/>
  </r>
  <r>
    <n v="13"/>
    <x v="12"/>
    <x v="10"/>
    <s v="F"/>
    <n v="8"/>
    <n v="45732"/>
    <n v="45815"/>
    <n v="3"/>
    <n v="5531"/>
    <s v="Arthritis"/>
    <s v="Deceased"/>
    <n v="83"/>
    <s v="Vitamin D"/>
    <s v="normal"/>
    <s v="High Risk"/>
  </r>
  <r>
    <n v="14"/>
    <x v="13"/>
    <x v="11"/>
    <s v="F"/>
    <n v="7"/>
    <n v="45814"/>
    <n v="45818"/>
    <n v="2"/>
    <n v="9147"/>
    <s v="Cancer"/>
    <s v="Complicated"/>
    <n v="4"/>
    <s v="Blood Pressure"/>
    <s v="High"/>
    <s v="High Risk"/>
  </r>
  <r>
    <n v="15"/>
    <x v="14"/>
    <x v="12"/>
    <s v="F"/>
    <n v="3"/>
    <n v="45777"/>
    <n v="45780"/>
    <n v="2"/>
    <n v="6451"/>
    <s v="Heart Disease"/>
    <s v="Complicated"/>
    <n v="3"/>
    <s v="Cholesterol"/>
    <s v="High"/>
    <s v="High Risk"/>
  </r>
  <r>
    <n v="16"/>
    <x v="15"/>
    <x v="13"/>
    <s v="F"/>
    <n v="1"/>
    <n v="45821"/>
    <n v="45823"/>
    <n v="2"/>
    <n v="9151"/>
    <s v="Hypertension"/>
    <s v="Complicated"/>
    <n v="2"/>
    <s v="Hemoglobin"/>
    <s v="High"/>
    <s v="High Risk"/>
  </r>
  <r>
    <n v="17"/>
    <x v="16"/>
    <x v="14"/>
    <s v="F"/>
    <n v="1"/>
    <n v="45678"/>
    <n v="45799"/>
    <n v="3"/>
    <n v="7443"/>
    <s v="Hypertension"/>
    <s v="Deceased"/>
    <n v="121"/>
    <s v="Blood Sugar"/>
    <s v="High"/>
    <s v="High Risk"/>
  </r>
  <r>
    <n v="18"/>
    <x v="17"/>
    <x v="11"/>
    <s v="F"/>
    <n v="3"/>
    <n v="45821"/>
    <n v="45830"/>
    <n v="3"/>
    <n v="9300"/>
    <s v="Heart Disease"/>
    <s v="Deceased"/>
    <n v="9"/>
    <s v="Hemoglobin"/>
    <s v="normal"/>
    <s v="High Risk"/>
  </r>
  <r>
    <n v="19"/>
    <x v="18"/>
    <x v="15"/>
    <s v="F"/>
    <n v="6"/>
    <n v="45795"/>
    <n v="45797"/>
    <n v="1"/>
    <n v="4935"/>
    <s v="COPD"/>
    <s v="Recovered"/>
    <n v="2"/>
    <s v="Vitamin D"/>
    <s v="High"/>
    <s v="Low Risk"/>
  </r>
  <r>
    <n v="20"/>
    <x v="19"/>
    <x v="16"/>
    <s v="M"/>
    <n v="7"/>
    <n v="45758"/>
    <n v="45847"/>
    <n v="3"/>
    <n v="5876"/>
    <s v="Cancer"/>
    <s v="Deceased"/>
    <n v="89"/>
    <s v="Creatinine"/>
    <s v="High"/>
    <s v="High Risk"/>
  </r>
  <r>
    <n v="21"/>
    <x v="20"/>
    <x v="12"/>
    <s v="F"/>
    <n v="6"/>
    <n v="45809"/>
    <n v="45819"/>
    <n v="3"/>
    <n v="7959"/>
    <s v="COPD"/>
    <s v="Complicated"/>
    <n v="10"/>
    <s v="Blood Sugar"/>
    <s v="High"/>
    <s v="High Risk"/>
  </r>
  <r>
    <n v="22"/>
    <x v="21"/>
    <x v="17"/>
    <s v="F"/>
    <n v="6"/>
    <n v="45834"/>
    <n v="45841"/>
    <n v="3"/>
    <n v="2126"/>
    <s v="COPD"/>
    <s v="Deceased"/>
    <n v="7"/>
    <s v="Vitamin D"/>
    <s v="normal"/>
    <s v="High Risk"/>
  </r>
  <r>
    <n v="23"/>
    <x v="22"/>
    <x v="11"/>
    <s v="M"/>
    <n v="6"/>
    <n v="45756"/>
    <n v="45831"/>
    <n v="3"/>
    <n v="5177"/>
    <s v="COPD"/>
    <s v="Deceased"/>
    <n v="75"/>
    <s v="Cholesterol"/>
    <s v="High"/>
    <s v="High Risk"/>
  </r>
  <r>
    <n v="24"/>
    <x v="23"/>
    <x v="18"/>
    <s v="F"/>
    <n v="3"/>
    <n v="45693"/>
    <n v="45749"/>
    <n v="1"/>
    <n v="5056"/>
    <s v="Heart Disease"/>
    <s v="Recovered"/>
    <n v="56"/>
    <s v="Blood Sugar"/>
    <s v="High"/>
    <s v="High Risk"/>
  </r>
  <r>
    <n v="25"/>
    <x v="24"/>
    <x v="19"/>
    <s v="M"/>
    <n v="6"/>
    <n v="45753"/>
    <n v="45811"/>
    <n v="3"/>
    <n v="2603"/>
    <s v="COPD"/>
    <s v="Deceased"/>
    <n v="58"/>
    <s v="Vitamin D"/>
    <s v="High"/>
    <s v="High Risk"/>
  </r>
  <r>
    <n v="26"/>
    <x v="25"/>
    <x v="20"/>
    <s v="M"/>
    <n v="8"/>
    <n v="45809"/>
    <n v="45810"/>
    <n v="2"/>
    <n v="9966"/>
    <s v="Arthritis"/>
    <s v="Complicated"/>
    <n v="1"/>
    <s v="Cholesterol"/>
    <s v="High"/>
    <s v="High Risk"/>
  </r>
  <r>
    <n v="27"/>
    <x v="26"/>
    <x v="17"/>
    <s v="F"/>
    <n v="2"/>
    <n v="45808"/>
    <n v="45809"/>
    <n v="2"/>
    <n v="5449"/>
    <s v="Diabetes"/>
    <s v="Complicated"/>
    <n v="1"/>
    <s v="Hemoglobin"/>
    <s v="High"/>
    <s v="High Risk"/>
  </r>
  <r>
    <n v="28"/>
    <x v="27"/>
    <x v="21"/>
    <s v="M"/>
    <n v="5"/>
    <n v="45694"/>
    <n v="45776"/>
    <n v="3"/>
    <n v="8024"/>
    <s v="Stroke"/>
    <s v="Deceased"/>
    <n v="82"/>
    <s v="Creatinine"/>
    <s v="High"/>
    <s v="High Risk"/>
  </r>
  <r>
    <n v="29"/>
    <x v="28"/>
    <x v="6"/>
    <s v="M"/>
    <n v="1"/>
    <n v="45669"/>
    <n v="45671"/>
    <n v="3"/>
    <n v="7109"/>
    <s v="Hypertension"/>
    <s v="Deceased"/>
    <n v="2"/>
    <s v="Cholesterol"/>
    <s v="normal"/>
    <s v="High Risk"/>
  </r>
  <r>
    <n v="30"/>
    <x v="29"/>
    <x v="22"/>
    <s v="M"/>
    <n v="1"/>
    <n v="45770"/>
    <n v="45774"/>
    <n v="2"/>
    <n v="6146"/>
    <s v="Hypertension"/>
    <s v="Complicated"/>
    <n v="4"/>
    <s v="Blood Pressure"/>
    <s v="High"/>
    <s v="High Risk"/>
  </r>
  <r>
    <n v="31"/>
    <x v="30"/>
    <x v="23"/>
    <s v="M"/>
    <n v="5"/>
    <n v="45670"/>
    <n v="45839"/>
    <n v="2"/>
    <n v="9196"/>
    <s v="Stroke"/>
    <s v="Complicated"/>
    <n v="169"/>
    <s v="Cholesterol"/>
    <s v="High"/>
    <s v="High Risk"/>
  </r>
  <r>
    <n v="32"/>
    <x v="31"/>
    <x v="7"/>
    <s v="F"/>
    <n v="3"/>
    <n v="45680"/>
    <n v="45684"/>
    <n v="1"/>
    <n v="5533"/>
    <s v="Heart Disease"/>
    <s v="Recovered"/>
    <n v="4"/>
    <s v="Cholesterol"/>
    <s v="normal"/>
    <s v="High Risk"/>
  </r>
  <r>
    <n v="33"/>
    <x v="32"/>
    <x v="16"/>
    <s v="M"/>
    <n v="4"/>
    <n v="45756"/>
    <n v="45779"/>
    <n v="2"/>
    <n v="5367"/>
    <s v="Asthma"/>
    <s v="Complicated"/>
    <n v="23"/>
    <s v="Creatinine"/>
    <s v="High"/>
    <s v="High Risk"/>
  </r>
  <r>
    <n v="34"/>
    <x v="33"/>
    <x v="18"/>
    <s v="F"/>
    <n v="3"/>
    <n v="45762"/>
    <n v="45771"/>
    <n v="2"/>
    <n v="5368"/>
    <s v="Heart Disease"/>
    <s v="Complicated"/>
    <n v="9"/>
    <s v="Blood Pressure"/>
    <s v="High"/>
    <s v="High Risk"/>
  </r>
  <r>
    <n v="35"/>
    <x v="34"/>
    <x v="24"/>
    <s v="M"/>
    <n v="1"/>
    <n v="45687"/>
    <n v="45700"/>
    <n v="3"/>
    <n v="5797"/>
    <s v="Hypertension"/>
    <s v="Deceased"/>
    <n v="13"/>
    <s v="Vitamin D"/>
    <s v="normal"/>
    <s v="High Risk"/>
  </r>
  <r>
    <n v="36"/>
    <x v="35"/>
    <x v="25"/>
    <s v="M"/>
    <n v="1"/>
    <n v="45674"/>
    <n v="45758"/>
    <n v="2"/>
    <n v="8922"/>
    <s v="Hypertension"/>
    <s v="Complicated"/>
    <n v="84"/>
    <s v="Vitamin D"/>
    <s v="High"/>
    <s v="High Risk"/>
  </r>
  <r>
    <n v="37"/>
    <x v="36"/>
    <x v="26"/>
    <s v="M"/>
    <n v="5"/>
    <n v="45770"/>
    <n v="45780"/>
    <n v="1"/>
    <n v="7526"/>
    <s v="Stroke"/>
    <s v="Recovered"/>
    <n v="10"/>
    <s v="Cholesterol"/>
    <s v="High"/>
    <s v="Low Risk"/>
  </r>
  <r>
    <n v="38"/>
    <x v="37"/>
    <x v="27"/>
    <s v="M"/>
    <n v="6"/>
    <n v="45719"/>
    <n v="45738"/>
    <n v="2"/>
    <n v="3792"/>
    <s v="COPD"/>
    <s v="Complicated"/>
    <n v="19"/>
    <s v="Blood Pressure"/>
    <s v="High"/>
    <s v="High Risk"/>
  </r>
  <r>
    <n v="39"/>
    <x v="38"/>
    <x v="28"/>
    <s v="F"/>
    <n v="3"/>
    <n v="45741"/>
    <n v="45742"/>
    <n v="3"/>
    <n v="4861"/>
    <s v="Heart Disease"/>
    <s v="Deceased"/>
    <n v="1"/>
    <s v="Blood Pressure"/>
    <s v="normal"/>
    <s v="High Risk"/>
  </r>
  <r>
    <n v="40"/>
    <x v="39"/>
    <x v="29"/>
    <s v="F"/>
    <n v="9"/>
    <n v="45769"/>
    <n v="45820"/>
    <n v="3"/>
    <n v="7732"/>
    <s v="Kidney Disease"/>
    <s v="Deceased"/>
    <n v="51"/>
    <s v="Creatinine"/>
    <s v="High"/>
    <s v="High Risk"/>
  </r>
  <r>
    <n v="41"/>
    <x v="40"/>
    <x v="21"/>
    <s v="M"/>
    <n v="5"/>
    <n v="45743"/>
    <n v="45828"/>
    <n v="2"/>
    <n v="5476"/>
    <s v="Stroke"/>
    <s v="Complicated"/>
    <n v="85"/>
    <s v="Hemoglobin"/>
    <s v="High"/>
    <s v="High Risk"/>
  </r>
  <r>
    <n v="42"/>
    <x v="41"/>
    <x v="30"/>
    <s v="M"/>
    <n v="8"/>
    <n v="45798"/>
    <n v="45848"/>
    <n v="3"/>
    <n v="5417"/>
    <s v="Arthritis"/>
    <s v="Deceased"/>
    <n v="50"/>
    <s v="Vitamin D"/>
    <s v="High"/>
    <s v="High Risk"/>
  </r>
  <r>
    <n v="43"/>
    <x v="42"/>
    <x v="3"/>
    <s v="F"/>
    <n v="1"/>
    <n v="45676"/>
    <n v="45784"/>
    <n v="1"/>
    <n v="3645"/>
    <s v="Hypertension"/>
    <s v="Recovered"/>
    <n v="108"/>
    <s v="Creatinine"/>
    <s v="High"/>
    <s v="Low Risk"/>
  </r>
  <r>
    <n v="44"/>
    <x v="43"/>
    <x v="31"/>
    <s v="M"/>
    <n v="5"/>
    <n v="45834"/>
    <n v="45843"/>
    <n v="1"/>
    <n v="8563"/>
    <s v="Stroke"/>
    <s v="Recovered"/>
    <n v="9"/>
    <s v="Blood Sugar"/>
    <s v="normal"/>
    <s v="High Risk"/>
  </r>
  <r>
    <n v="45"/>
    <x v="44"/>
    <x v="32"/>
    <s v="M"/>
    <n v="3"/>
    <n v="45757"/>
    <n v="45789"/>
    <n v="2"/>
    <n v="3205"/>
    <s v="Heart Disease"/>
    <s v="Complicated"/>
    <n v="32"/>
    <s v="Vitamin D"/>
    <s v="High"/>
    <s v="High Risk"/>
  </r>
  <r>
    <n v="46"/>
    <x v="45"/>
    <x v="18"/>
    <s v="M"/>
    <n v="1"/>
    <n v="45797"/>
    <n v="45801"/>
    <n v="2"/>
    <n v="5030"/>
    <s v="Hypertension"/>
    <s v="Complicated"/>
    <n v="4"/>
    <s v="Creatinine"/>
    <s v="normal"/>
    <s v="High Risk"/>
  </r>
  <r>
    <n v="47"/>
    <x v="46"/>
    <x v="33"/>
    <s v="F"/>
    <n v="4"/>
    <n v="45804"/>
    <n v="45813"/>
    <n v="2"/>
    <n v="4872"/>
    <s v="Asthma"/>
    <s v="Complicated"/>
    <n v="9"/>
    <s v="Vitamin D"/>
    <s v="normal"/>
    <s v="High Risk"/>
  </r>
  <r>
    <n v="48"/>
    <x v="47"/>
    <x v="1"/>
    <s v="F"/>
    <n v="5"/>
    <n v="45733"/>
    <n v="45740"/>
    <n v="3"/>
    <n v="5072"/>
    <s v="Stroke"/>
    <s v="Deceased"/>
    <n v="7"/>
    <s v="Hemoglobin"/>
    <s v="High"/>
    <s v="High Risk"/>
  </r>
  <r>
    <n v="49"/>
    <x v="48"/>
    <x v="34"/>
    <s v="F"/>
    <n v="7"/>
    <n v="45666"/>
    <n v="45799"/>
    <n v="1"/>
    <n v="3854"/>
    <s v="Cancer"/>
    <s v="Recovered"/>
    <n v="133"/>
    <s v="Blood Sugar"/>
    <s v="High"/>
    <s v="High Risk"/>
  </r>
  <r>
    <n v="50"/>
    <x v="49"/>
    <x v="15"/>
    <s v="M"/>
    <n v="1"/>
    <n v="45685"/>
    <n v="45723"/>
    <n v="1"/>
    <n v="6021"/>
    <s v="Hypertension"/>
    <s v="Recovered"/>
    <n v="38"/>
    <s v="Hemoglobin"/>
    <s v="High"/>
    <s v="Low Risk"/>
  </r>
  <r>
    <n v="51"/>
    <x v="50"/>
    <x v="35"/>
    <s v="M"/>
    <n v="3"/>
    <n v="45785"/>
    <n v="45811"/>
    <n v="3"/>
    <n v="6662"/>
    <s v="Heart Disease"/>
    <s v="Deceased"/>
    <n v="26"/>
    <s v="Blood Sugar"/>
    <s v="High"/>
    <s v="High Risk"/>
  </r>
  <r>
    <n v="52"/>
    <x v="51"/>
    <x v="32"/>
    <s v="F"/>
    <n v="2"/>
    <n v="45709"/>
    <n v="45778"/>
    <n v="1"/>
    <n v="8514"/>
    <s v="Diabetes"/>
    <s v="Recovered"/>
    <n v="69"/>
    <s v="Cholesterol"/>
    <s v="High"/>
    <s v="High Risk"/>
  </r>
  <r>
    <n v="53"/>
    <x v="52"/>
    <x v="36"/>
    <s v="F"/>
    <n v="9"/>
    <n v="45740"/>
    <n v="45744"/>
    <n v="2"/>
    <n v="7031"/>
    <s v="Kidney Disease"/>
    <s v="Complicated"/>
    <n v="4"/>
    <s v="Creatinine"/>
    <s v="normal"/>
    <s v="High Risk"/>
  </r>
  <r>
    <n v="54"/>
    <x v="53"/>
    <x v="6"/>
    <s v="F"/>
    <n v="10"/>
    <n v="45768"/>
    <n v="45817"/>
    <n v="2"/>
    <n v="8030"/>
    <s v="Liver Disease"/>
    <s v="Complicated"/>
    <n v="49"/>
    <s v="Blood Sugar"/>
    <s v="High"/>
    <s v="High Risk"/>
  </r>
  <r>
    <n v="55"/>
    <x v="54"/>
    <x v="37"/>
    <s v="F"/>
    <n v="6"/>
    <n v="45801"/>
    <n v="45809"/>
    <n v="2"/>
    <n v="4708"/>
    <s v="COPD"/>
    <s v="Complicated"/>
    <n v="8"/>
    <s v="Hemoglobin"/>
    <s v="High"/>
    <s v="High Risk"/>
  </r>
  <r>
    <n v="56"/>
    <x v="55"/>
    <x v="0"/>
    <s v="M"/>
    <n v="10"/>
    <n v="45774"/>
    <n v="45808"/>
    <n v="1"/>
    <n v="5502"/>
    <s v="Liver Disease"/>
    <s v="Recovered"/>
    <n v="34"/>
    <s v="Vitamin D"/>
    <s v="High"/>
    <s v="High Risk"/>
  </r>
  <r>
    <n v="57"/>
    <x v="56"/>
    <x v="38"/>
    <s v="F"/>
    <n v="3"/>
    <n v="45726"/>
    <n v="45732"/>
    <n v="2"/>
    <n v="9112"/>
    <s v="Heart Disease"/>
    <s v="Complicated"/>
    <n v="6"/>
    <s v="Blood Sugar"/>
    <s v="normal"/>
    <s v="High Risk"/>
  </r>
  <r>
    <n v="58"/>
    <x v="57"/>
    <x v="39"/>
    <s v="M"/>
    <n v="8"/>
    <n v="45756"/>
    <n v="45766"/>
    <n v="3"/>
    <n v="3332"/>
    <s v="Arthritis"/>
    <s v="Deceased"/>
    <n v="10"/>
    <s v="Creatinine"/>
    <s v="High"/>
    <s v="High Risk"/>
  </r>
  <r>
    <n v="59"/>
    <x v="58"/>
    <x v="24"/>
    <s v="F"/>
    <n v="8"/>
    <n v="45797"/>
    <n v="45845"/>
    <n v="3"/>
    <n v="9304"/>
    <s v="Arthritis"/>
    <s v="Deceased"/>
    <n v="48"/>
    <s v="Blood Sugar"/>
    <s v="High"/>
    <s v="High Risk"/>
  </r>
  <r>
    <n v="60"/>
    <x v="59"/>
    <x v="21"/>
    <s v="M"/>
    <n v="2"/>
    <n v="45682"/>
    <n v="45769"/>
    <n v="1"/>
    <n v="2201"/>
    <s v="Diabetes"/>
    <s v="Recovered"/>
    <n v="87"/>
    <s v="Blood Pressure"/>
    <s v="normal"/>
    <s v="High Risk"/>
  </r>
  <r>
    <n v="61"/>
    <x v="60"/>
    <x v="40"/>
    <s v="F"/>
    <n v="6"/>
    <n v="45837"/>
    <n v="45842"/>
    <n v="3"/>
    <n v="5507"/>
    <s v="COPD"/>
    <s v="Deceased"/>
    <n v="5"/>
    <s v="Vitamin D"/>
    <s v="normal"/>
    <s v="High Risk"/>
  </r>
  <r>
    <n v="62"/>
    <x v="61"/>
    <x v="41"/>
    <s v="F"/>
    <n v="7"/>
    <n v="45780"/>
    <n v="45781"/>
    <n v="3"/>
    <n v="8456"/>
    <s v="Cancer"/>
    <s v="Deceased"/>
    <n v="1"/>
    <s v="Creatinine"/>
    <s v="High"/>
    <s v="High Risk"/>
  </r>
  <r>
    <n v="63"/>
    <x v="62"/>
    <x v="7"/>
    <s v="F"/>
    <n v="2"/>
    <n v="45710"/>
    <n v="45716"/>
    <n v="1"/>
    <n v="6212"/>
    <s v="Diabetes"/>
    <s v="Recovered"/>
    <n v="6"/>
    <s v="Creatinine"/>
    <s v="High"/>
    <s v="High Risk"/>
  </r>
  <r>
    <n v="64"/>
    <x v="63"/>
    <x v="37"/>
    <s v="F"/>
    <n v="10"/>
    <n v="45808"/>
    <n v="45811"/>
    <n v="2"/>
    <n v="9833"/>
    <s v="Liver Disease"/>
    <s v="Complicated"/>
    <n v="3"/>
    <s v="Cholesterol"/>
    <s v="normal"/>
    <s v="High Risk"/>
  </r>
  <r>
    <n v="65"/>
    <x v="64"/>
    <x v="42"/>
    <s v="M"/>
    <n v="2"/>
    <n v="45801"/>
    <n v="45808"/>
    <n v="2"/>
    <n v="7032"/>
    <s v="Diabetes"/>
    <s v="Complicated"/>
    <n v="7"/>
    <s v="Hemoglobin"/>
    <s v="High"/>
    <s v="High Risk"/>
  </r>
  <r>
    <n v="66"/>
    <x v="65"/>
    <x v="12"/>
    <s v="F"/>
    <n v="10"/>
    <n v="45714"/>
    <n v="45720"/>
    <n v="2"/>
    <n v="9970"/>
    <s v="Liver Disease"/>
    <s v="Complicated"/>
    <n v="6"/>
    <s v="Cholesterol"/>
    <s v="normal"/>
    <s v="High Risk"/>
  </r>
  <r>
    <n v="67"/>
    <x v="66"/>
    <x v="17"/>
    <s v="M"/>
    <n v="1"/>
    <n v="45696"/>
    <n v="45745"/>
    <n v="1"/>
    <n v="2574"/>
    <s v="Hypertension"/>
    <s v="Recovered"/>
    <n v="49"/>
    <s v="Creatinine"/>
    <s v="High"/>
    <s v="Low Risk"/>
  </r>
  <r>
    <n v="68"/>
    <x v="67"/>
    <x v="43"/>
    <s v="M"/>
    <n v="8"/>
    <n v="45766"/>
    <n v="45771"/>
    <n v="3"/>
    <n v="8387"/>
    <s v="Arthritis"/>
    <s v="Deceased"/>
    <n v="5"/>
    <s v="Vitamin D"/>
    <s v="High"/>
    <s v="High Risk"/>
  </r>
  <r>
    <n v="69"/>
    <x v="68"/>
    <x v="29"/>
    <s v="M"/>
    <n v="1"/>
    <n v="45838"/>
    <n v="45845"/>
    <n v="2"/>
    <n v="2536"/>
    <s v="Hypertension"/>
    <s v="Complicated"/>
    <n v="7"/>
    <s v="Blood Sugar"/>
    <s v="High"/>
    <s v="High Risk"/>
  </r>
  <r>
    <n v="70"/>
    <x v="69"/>
    <x v="31"/>
    <s v="M"/>
    <n v="9"/>
    <n v="45699"/>
    <n v="45718"/>
    <n v="2"/>
    <n v="3625"/>
    <s v="Kidney Disease"/>
    <s v="Complicated"/>
    <n v="19"/>
    <s v="Blood Sugar"/>
    <s v="High"/>
    <s v="High Risk"/>
  </r>
  <r>
    <n v="71"/>
    <x v="70"/>
    <x v="21"/>
    <s v="F"/>
    <n v="6"/>
    <n v="45824"/>
    <n v="45832"/>
    <n v="1"/>
    <n v="4122"/>
    <s v="COPD"/>
    <s v="Recovered"/>
    <n v="8"/>
    <s v="Vitamin D"/>
    <s v="High"/>
    <s v="High Risk"/>
  </r>
  <r>
    <n v="72"/>
    <x v="71"/>
    <x v="36"/>
    <s v="M"/>
    <n v="7"/>
    <n v="45799"/>
    <n v="45802"/>
    <n v="2"/>
    <n v="9973"/>
    <s v="Cancer"/>
    <s v="Complicated"/>
    <n v="3"/>
    <s v="Creatinine"/>
    <s v="normal"/>
    <s v="High Risk"/>
  </r>
  <r>
    <n v="73"/>
    <x v="72"/>
    <x v="18"/>
    <s v="M"/>
    <n v="10"/>
    <n v="45779"/>
    <n v="45783"/>
    <n v="1"/>
    <n v="2385"/>
    <s v="Liver Disease"/>
    <s v="Recovered"/>
    <n v="4"/>
    <s v="Blood Sugar"/>
    <s v="High"/>
    <s v="High Risk"/>
  </r>
  <r>
    <n v="74"/>
    <x v="73"/>
    <x v="5"/>
    <s v="M"/>
    <n v="7"/>
    <n v="45790"/>
    <n v="45796"/>
    <n v="3"/>
    <n v="5281"/>
    <s v="Cancer"/>
    <s v="Deceased"/>
    <n v="6"/>
    <s v="Blood Sugar"/>
    <s v="High"/>
    <s v="High Risk"/>
  </r>
  <r>
    <n v="75"/>
    <x v="74"/>
    <x v="31"/>
    <s v="F"/>
    <n v="10"/>
    <n v="45820"/>
    <n v="45822"/>
    <n v="1"/>
    <n v="2474"/>
    <s v="Liver Disease"/>
    <s v="Recovered"/>
    <n v="2"/>
    <s v="Blood Sugar"/>
    <s v="High"/>
    <s v="High Risk"/>
  </r>
  <r>
    <n v="76"/>
    <x v="75"/>
    <x v="44"/>
    <s v="F"/>
    <n v="3"/>
    <n v="45732"/>
    <n v="45747"/>
    <n v="1"/>
    <n v="2417"/>
    <s v="Heart Disease"/>
    <s v="Recovered"/>
    <n v="15"/>
    <s v="Hemoglobin"/>
    <s v="normal"/>
    <s v="Low Risk"/>
  </r>
  <r>
    <n v="77"/>
    <x v="76"/>
    <x v="40"/>
    <s v="F"/>
    <n v="2"/>
    <n v="45803"/>
    <n v="45805"/>
    <n v="1"/>
    <n v="8490"/>
    <s v="Diabetes"/>
    <s v="Recovered"/>
    <n v="2"/>
    <s v="Hemoglobin"/>
    <s v="normal"/>
    <s v="Low Risk"/>
  </r>
  <r>
    <n v="78"/>
    <x v="77"/>
    <x v="45"/>
    <s v="F"/>
    <n v="9"/>
    <n v="45733"/>
    <n v="45740"/>
    <n v="1"/>
    <n v="5600"/>
    <s v="Kidney Disease"/>
    <s v="Recovered"/>
    <n v="7"/>
    <s v="Blood Pressure"/>
    <s v="normal"/>
    <s v="Low Risk"/>
  </r>
  <r>
    <n v="79"/>
    <x v="78"/>
    <x v="13"/>
    <s v="M"/>
    <n v="8"/>
    <n v="45666"/>
    <n v="45798"/>
    <n v="3"/>
    <n v="8783"/>
    <s v="Arthritis"/>
    <s v="Deceased"/>
    <n v="132"/>
    <s v="Cholesterol"/>
    <s v="High"/>
    <s v="High Risk"/>
  </r>
  <r>
    <n v="80"/>
    <x v="79"/>
    <x v="41"/>
    <s v="M"/>
    <n v="10"/>
    <n v="45731"/>
    <n v="45804"/>
    <n v="3"/>
    <n v="7034"/>
    <s v="Liver Disease"/>
    <s v="Deceased"/>
    <n v="73"/>
    <s v="Vitamin D"/>
    <s v="High"/>
    <s v="High Risk"/>
  </r>
  <r>
    <n v="81"/>
    <x v="80"/>
    <x v="14"/>
    <s v="F"/>
    <n v="7"/>
    <n v="45802"/>
    <n v="45811"/>
    <n v="2"/>
    <n v="2954"/>
    <s v="Cancer"/>
    <s v="Complicated"/>
    <n v="9"/>
    <s v="Vitamin D"/>
    <s v="High"/>
    <s v="High Risk"/>
  </r>
  <r>
    <n v="82"/>
    <x v="81"/>
    <x v="39"/>
    <s v="M"/>
    <n v="9"/>
    <n v="45664"/>
    <n v="45740"/>
    <n v="3"/>
    <n v="6971"/>
    <s v="Kidney Disease"/>
    <s v="Deceased"/>
    <n v="76"/>
    <s v="Vitamin D"/>
    <s v="High"/>
    <s v="High Risk"/>
  </r>
  <r>
    <n v="83"/>
    <x v="82"/>
    <x v="17"/>
    <s v="M"/>
    <n v="4"/>
    <n v="45831"/>
    <n v="45833"/>
    <n v="3"/>
    <n v="6858"/>
    <s v="Asthma"/>
    <s v="Deceased"/>
    <n v="2"/>
    <s v="Blood Pressure"/>
    <s v="High"/>
    <s v="High Risk"/>
  </r>
  <r>
    <n v="84"/>
    <x v="83"/>
    <x v="46"/>
    <s v="M"/>
    <n v="4"/>
    <n v="45798"/>
    <n v="45804"/>
    <n v="2"/>
    <n v="7298"/>
    <s v="Asthma"/>
    <s v="Complicated"/>
    <n v="6"/>
    <s v="Hemoglobin"/>
    <s v="normal"/>
    <s v="High Risk"/>
  </r>
  <r>
    <n v="85"/>
    <x v="84"/>
    <x v="47"/>
    <s v="F"/>
    <n v="1"/>
    <n v="45825"/>
    <n v="45831"/>
    <n v="3"/>
    <n v="3205"/>
    <s v="Hypertension"/>
    <s v="Deceased"/>
    <n v="6"/>
    <s v="Creatinine"/>
    <s v="High"/>
    <s v="High Risk"/>
  </r>
  <r>
    <n v="86"/>
    <x v="85"/>
    <x v="28"/>
    <s v="F"/>
    <n v="8"/>
    <n v="45827"/>
    <n v="45837"/>
    <n v="1"/>
    <n v="6759"/>
    <s v="Arthritis"/>
    <s v="Recovered"/>
    <n v="10"/>
    <s v="Creatinine"/>
    <s v="High"/>
    <s v="High Risk"/>
  </r>
  <r>
    <n v="87"/>
    <x v="86"/>
    <x v="39"/>
    <s v="M"/>
    <n v="3"/>
    <n v="45794"/>
    <n v="45799"/>
    <n v="1"/>
    <n v="6120"/>
    <s v="Heart Disease"/>
    <s v="Recovered"/>
    <n v="5"/>
    <s v="Blood Pressure"/>
    <s v="High"/>
    <s v="Low Risk"/>
  </r>
  <r>
    <n v="88"/>
    <x v="87"/>
    <x v="47"/>
    <s v="F"/>
    <n v="7"/>
    <n v="45835"/>
    <n v="45836"/>
    <n v="2"/>
    <n v="3990"/>
    <s v="Cancer"/>
    <s v="Complicated"/>
    <n v="1"/>
    <s v="Creatinine"/>
    <s v="High"/>
    <s v="High Risk"/>
  </r>
  <r>
    <n v="89"/>
    <x v="88"/>
    <x v="2"/>
    <s v="F"/>
    <n v="2"/>
    <n v="45684"/>
    <n v="45792"/>
    <n v="2"/>
    <n v="7299"/>
    <s v="Diabetes"/>
    <s v="Complicated"/>
    <n v="108"/>
    <s v="Vitamin D"/>
    <s v="High"/>
    <s v="High Risk"/>
  </r>
  <r>
    <n v="90"/>
    <x v="89"/>
    <x v="38"/>
    <s v="F"/>
    <n v="2"/>
    <n v="45779"/>
    <n v="45787"/>
    <n v="2"/>
    <n v="6805"/>
    <s v="Diabetes"/>
    <s v="Complicated"/>
    <n v="8"/>
    <s v="Cholesterol"/>
    <s v="High"/>
    <s v="High Risk"/>
  </r>
  <r>
    <n v="91"/>
    <x v="90"/>
    <x v="42"/>
    <s v="F"/>
    <n v="7"/>
    <n v="45662"/>
    <n v="45781"/>
    <n v="1"/>
    <n v="5572"/>
    <s v="Cancer"/>
    <s v="Recovered"/>
    <n v="119"/>
    <s v="Blood Sugar"/>
    <s v="normal"/>
    <s v="Low Risk"/>
  </r>
  <r>
    <n v="92"/>
    <x v="91"/>
    <x v="18"/>
    <s v="F"/>
    <n v="6"/>
    <n v="45686"/>
    <n v="45777"/>
    <n v="3"/>
    <n v="7975"/>
    <s v="COPD"/>
    <s v="Deceased"/>
    <n v="91"/>
    <s v="Hemoglobin"/>
    <s v="normal"/>
    <s v="High Risk"/>
  </r>
  <r>
    <n v="93"/>
    <x v="92"/>
    <x v="48"/>
    <s v="M"/>
    <n v="3"/>
    <n v="45822"/>
    <n v="45831"/>
    <n v="1"/>
    <n v="7280"/>
    <s v="Heart Disease"/>
    <s v="Recovered"/>
    <n v="9"/>
    <s v="Hemoglobin"/>
    <s v="High"/>
    <s v="Low Risk"/>
  </r>
  <r>
    <n v="94"/>
    <x v="93"/>
    <x v="49"/>
    <s v="F"/>
    <n v="9"/>
    <n v="45823"/>
    <n v="45825"/>
    <n v="2"/>
    <n v="8320"/>
    <s v="Kidney Disease"/>
    <s v="Complicated"/>
    <n v="2"/>
    <s v="Blood Pressure"/>
    <s v="High"/>
    <s v="High Risk"/>
  </r>
  <r>
    <n v="95"/>
    <x v="94"/>
    <x v="13"/>
    <s v="M"/>
    <n v="10"/>
    <n v="45740"/>
    <n v="45761"/>
    <n v="3"/>
    <n v="6380"/>
    <s v="Liver Disease"/>
    <s v="Deceased"/>
    <n v="21"/>
    <s v="Hemoglobin"/>
    <s v="High"/>
    <s v="High Risk"/>
  </r>
  <r>
    <n v="96"/>
    <x v="95"/>
    <x v="40"/>
    <s v="M"/>
    <n v="6"/>
    <n v="45793"/>
    <n v="45800"/>
    <n v="3"/>
    <n v="6158"/>
    <s v="COPD"/>
    <s v="Deceased"/>
    <n v="7"/>
    <s v="Vitamin D"/>
    <s v="High"/>
    <s v="High Risk"/>
  </r>
  <r>
    <n v="97"/>
    <x v="96"/>
    <x v="50"/>
    <s v="F"/>
    <n v="10"/>
    <n v="45766"/>
    <n v="45810"/>
    <n v="1"/>
    <n v="7098"/>
    <s v="Liver Disease"/>
    <s v="Recovered"/>
    <n v="44"/>
    <s v="Creatinine"/>
    <s v="normal"/>
    <s v="Low Risk"/>
  </r>
  <r>
    <n v="98"/>
    <x v="97"/>
    <x v="51"/>
    <s v="M"/>
    <n v="10"/>
    <n v="45722"/>
    <n v="45724"/>
    <n v="2"/>
    <n v="6757"/>
    <s v="Liver Disease"/>
    <s v="Complicated"/>
    <n v="2"/>
    <s v="Vitamin D"/>
    <s v="normal"/>
    <s v="High Risk"/>
  </r>
  <r>
    <n v="99"/>
    <x v="98"/>
    <x v="3"/>
    <s v="M"/>
    <n v="6"/>
    <n v="45743"/>
    <n v="45798"/>
    <n v="1"/>
    <n v="4713"/>
    <s v="COPD"/>
    <s v="Recovered"/>
    <n v="55"/>
    <s v="Blood Pressure"/>
    <s v="High"/>
    <s v="Low Risk"/>
  </r>
  <r>
    <n v="100"/>
    <x v="99"/>
    <x v="5"/>
    <s v="M"/>
    <n v="1"/>
    <n v="45802"/>
    <n v="45811"/>
    <n v="3"/>
    <n v="4203"/>
    <s v="Hypertension"/>
    <s v="Deceased"/>
    <n v="9"/>
    <s v="Vitamin D"/>
    <s v="High"/>
    <s v="High Risk"/>
  </r>
  <r>
    <n v="101"/>
    <x v="100"/>
    <x v="40"/>
    <s v="F"/>
    <n v="4"/>
    <n v="45728"/>
    <n v="45798"/>
    <n v="1"/>
    <n v="7588"/>
    <s v="Asthma"/>
    <s v="Recovered"/>
    <n v="70"/>
    <s v="Creatinine"/>
    <s v="normal"/>
    <s v="Low Risk"/>
  </r>
  <r>
    <n v="102"/>
    <x v="101"/>
    <x v="9"/>
    <s v="F"/>
    <n v="10"/>
    <n v="45702"/>
    <n v="45707"/>
    <n v="1"/>
    <n v="5120"/>
    <s v="Liver Disease"/>
    <s v="Recovered"/>
    <n v="5"/>
    <s v="Cholesterol"/>
    <s v="High"/>
    <s v="Low Risk"/>
  </r>
  <r>
    <n v="103"/>
    <x v="102"/>
    <x v="21"/>
    <s v="M"/>
    <n v="6"/>
    <n v="45789"/>
    <n v="45799"/>
    <n v="2"/>
    <n v="2966"/>
    <s v="COPD"/>
    <s v="Complicated"/>
    <n v="10"/>
    <s v="Blood Pressure"/>
    <s v="normal"/>
    <s v="High Risk"/>
  </r>
  <r>
    <n v="104"/>
    <x v="103"/>
    <x v="34"/>
    <s v="F"/>
    <n v="6"/>
    <n v="45693"/>
    <n v="45821"/>
    <n v="2"/>
    <n v="6944"/>
    <s v="COPD"/>
    <s v="Complicated"/>
    <n v="128"/>
    <s v="Cholesterol"/>
    <s v="High"/>
    <s v="High Risk"/>
  </r>
  <r>
    <n v="105"/>
    <x v="104"/>
    <x v="14"/>
    <s v="F"/>
    <n v="5"/>
    <n v="45727"/>
    <n v="45759"/>
    <n v="3"/>
    <n v="7203"/>
    <s v="Stroke"/>
    <s v="Deceased"/>
    <n v="32"/>
    <s v="Blood Sugar"/>
    <s v="normal"/>
    <s v="High Risk"/>
  </r>
  <r>
    <n v="106"/>
    <x v="105"/>
    <x v="6"/>
    <s v="F"/>
    <n v="1"/>
    <n v="45816"/>
    <n v="45826"/>
    <n v="1"/>
    <n v="5432"/>
    <s v="Hypertension"/>
    <s v="Recovered"/>
    <n v="10"/>
    <s v="Cholesterol"/>
    <s v="High"/>
    <s v="Low Risk"/>
  </r>
  <r>
    <n v="107"/>
    <x v="106"/>
    <x v="30"/>
    <s v="F"/>
    <n v="8"/>
    <n v="45676"/>
    <n v="45844"/>
    <n v="1"/>
    <n v="2688"/>
    <s v="Arthritis"/>
    <s v="Recovered"/>
    <n v="168"/>
    <s v="Blood Sugar"/>
    <s v="High"/>
    <s v="Low Risk"/>
  </r>
  <r>
    <n v="108"/>
    <x v="107"/>
    <x v="52"/>
    <s v="M"/>
    <n v="5"/>
    <n v="45765"/>
    <n v="45771"/>
    <n v="1"/>
    <n v="6243"/>
    <s v="Stroke"/>
    <s v="Recovered"/>
    <n v="6"/>
    <s v="Blood Sugar"/>
    <s v="High"/>
    <s v="High Risk"/>
  </r>
  <r>
    <n v="109"/>
    <x v="108"/>
    <x v="38"/>
    <s v="M"/>
    <n v="5"/>
    <n v="45824"/>
    <n v="45834"/>
    <n v="3"/>
    <n v="5701"/>
    <s v="Stroke"/>
    <s v="Deceased"/>
    <n v="10"/>
    <s v="Cholesterol"/>
    <s v="normal"/>
    <s v="High Risk"/>
  </r>
  <r>
    <n v="110"/>
    <x v="109"/>
    <x v="31"/>
    <s v="F"/>
    <n v="7"/>
    <n v="45748"/>
    <n v="45752"/>
    <n v="3"/>
    <n v="2341"/>
    <s v="Cancer"/>
    <s v="Deceased"/>
    <n v="4"/>
    <s v="Blood Pressure"/>
    <s v="normal"/>
    <s v="High Risk"/>
  </r>
  <r>
    <n v="111"/>
    <x v="110"/>
    <x v="12"/>
    <s v="F"/>
    <n v="4"/>
    <n v="45747"/>
    <n v="45813"/>
    <n v="2"/>
    <n v="8619"/>
    <s v="Asthma"/>
    <s v="Complicated"/>
    <n v="66"/>
    <s v="Creatinine"/>
    <s v="High"/>
    <s v="High Risk"/>
  </r>
  <r>
    <n v="112"/>
    <x v="111"/>
    <x v="11"/>
    <s v="M"/>
    <n v="6"/>
    <n v="45676"/>
    <n v="45687"/>
    <n v="2"/>
    <n v="7182"/>
    <s v="COPD"/>
    <s v="Complicated"/>
    <n v="11"/>
    <s v="Vitamin D"/>
    <s v="High"/>
    <s v="High Risk"/>
  </r>
  <r>
    <n v="113"/>
    <x v="112"/>
    <x v="42"/>
    <s v="M"/>
    <n v="4"/>
    <n v="45696"/>
    <n v="45698"/>
    <n v="2"/>
    <n v="3724"/>
    <s v="Asthma"/>
    <s v="Complicated"/>
    <n v="2"/>
    <s v="Vitamin D"/>
    <s v="High"/>
    <s v="High Risk"/>
  </r>
  <r>
    <n v="114"/>
    <x v="113"/>
    <x v="24"/>
    <s v="F"/>
    <n v="3"/>
    <n v="45783"/>
    <n v="45784"/>
    <n v="1"/>
    <n v="7479"/>
    <s v="Heart Disease"/>
    <s v="Recovered"/>
    <n v="1"/>
    <s v="Creatinine"/>
    <s v="High"/>
    <s v="Low Risk"/>
  </r>
  <r>
    <n v="115"/>
    <x v="114"/>
    <x v="21"/>
    <s v="M"/>
    <n v="7"/>
    <n v="45830"/>
    <n v="45836"/>
    <n v="1"/>
    <n v="8704"/>
    <s v="Cancer"/>
    <s v="Recovered"/>
    <n v="6"/>
    <s v="Blood Sugar"/>
    <s v="High"/>
    <s v="High Risk"/>
  </r>
  <r>
    <n v="116"/>
    <x v="115"/>
    <x v="21"/>
    <s v="F"/>
    <n v="8"/>
    <n v="45798"/>
    <n v="45802"/>
    <n v="2"/>
    <n v="6422"/>
    <s v="Arthritis"/>
    <s v="Complicated"/>
    <n v="4"/>
    <s v="Blood Sugar"/>
    <s v="High"/>
    <s v="High Risk"/>
  </r>
  <r>
    <n v="117"/>
    <x v="116"/>
    <x v="21"/>
    <s v="F"/>
    <n v="4"/>
    <n v="45783"/>
    <n v="45788"/>
    <n v="1"/>
    <n v="3792"/>
    <s v="Asthma"/>
    <s v="Recovered"/>
    <n v="5"/>
    <s v="Blood Pressure"/>
    <s v="High"/>
    <s v="High Risk"/>
  </r>
  <r>
    <n v="118"/>
    <x v="117"/>
    <x v="52"/>
    <s v="M"/>
    <n v="2"/>
    <n v="45715"/>
    <n v="45815"/>
    <n v="2"/>
    <n v="3759"/>
    <s v="Diabetes"/>
    <s v="Complicated"/>
    <n v="100"/>
    <s v="Hemoglobin"/>
    <s v="normal"/>
    <s v="High Risk"/>
  </r>
  <r>
    <n v="119"/>
    <x v="118"/>
    <x v="53"/>
    <s v="M"/>
    <n v="10"/>
    <n v="45805"/>
    <n v="45807"/>
    <n v="3"/>
    <n v="5212"/>
    <s v="Liver Disease"/>
    <s v="Deceased"/>
    <n v="2"/>
    <s v="Cholesterol"/>
    <s v="High"/>
    <s v="High Risk"/>
  </r>
  <r>
    <n v="120"/>
    <x v="119"/>
    <x v="2"/>
    <s v="F"/>
    <n v="3"/>
    <n v="45718"/>
    <n v="45722"/>
    <n v="2"/>
    <n v="2989"/>
    <s v="Heart Disease"/>
    <s v="Complicated"/>
    <n v="4"/>
    <s v="Blood Sugar"/>
    <s v="normal"/>
    <s v="High Risk"/>
  </r>
  <r>
    <n v="121"/>
    <x v="120"/>
    <x v="3"/>
    <s v="F"/>
    <n v="1"/>
    <n v="45784"/>
    <n v="45799"/>
    <n v="3"/>
    <n v="4262"/>
    <s v="Hypertension"/>
    <s v="Deceased"/>
    <n v="15"/>
    <s v="Vitamin D"/>
    <s v="normal"/>
    <s v="High Risk"/>
  </r>
  <r>
    <n v="122"/>
    <x v="121"/>
    <x v="52"/>
    <s v="M"/>
    <n v="8"/>
    <n v="45762"/>
    <n v="45764"/>
    <n v="1"/>
    <n v="4482"/>
    <s v="Arthritis"/>
    <s v="Recovered"/>
    <n v="2"/>
    <s v="Blood Pressure"/>
    <s v="High"/>
    <s v="High Risk"/>
  </r>
  <r>
    <n v="123"/>
    <x v="122"/>
    <x v="54"/>
    <s v="F"/>
    <n v="3"/>
    <n v="45824"/>
    <n v="45831"/>
    <n v="2"/>
    <n v="2951"/>
    <s v="Heart Disease"/>
    <s v="Complicated"/>
    <n v="7"/>
    <s v="Cholesterol"/>
    <s v="normal"/>
    <s v="High Risk"/>
  </r>
  <r>
    <n v="124"/>
    <x v="123"/>
    <x v="24"/>
    <s v="M"/>
    <n v="10"/>
    <n v="45658"/>
    <n v="45712"/>
    <n v="1"/>
    <n v="2722"/>
    <s v="Liver Disease"/>
    <s v="Recovered"/>
    <n v="54"/>
    <s v="Blood Pressure"/>
    <s v="High"/>
    <s v="Low Risk"/>
  </r>
  <r>
    <n v="125"/>
    <x v="124"/>
    <x v="36"/>
    <s v="F"/>
    <n v="7"/>
    <n v="45788"/>
    <n v="45793"/>
    <n v="3"/>
    <n v="5389"/>
    <s v="Cancer"/>
    <s v="Deceased"/>
    <n v="5"/>
    <s v="Cholesterol"/>
    <s v="High"/>
    <s v="High Risk"/>
  </r>
  <r>
    <n v="126"/>
    <x v="125"/>
    <x v="37"/>
    <s v="M"/>
    <n v="10"/>
    <n v="45749"/>
    <n v="45843"/>
    <n v="3"/>
    <n v="4079"/>
    <s v="Liver Disease"/>
    <s v="Deceased"/>
    <n v="94"/>
    <s v="Cholesterol"/>
    <s v="High"/>
    <s v="High Risk"/>
  </r>
  <r>
    <n v="127"/>
    <x v="126"/>
    <x v="11"/>
    <s v="M"/>
    <n v="5"/>
    <n v="45770"/>
    <n v="45778"/>
    <n v="3"/>
    <n v="4717"/>
    <s v="Stroke"/>
    <s v="Deceased"/>
    <n v="8"/>
    <s v="Creatinine"/>
    <s v="High"/>
    <s v="High Risk"/>
  </r>
  <r>
    <n v="128"/>
    <x v="127"/>
    <x v="54"/>
    <s v="M"/>
    <n v="10"/>
    <n v="45810"/>
    <n v="45816"/>
    <n v="1"/>
    <n v="4332"/>
    <s v="Liver Disease"/>
    <s v="Recovered"/>
    <n v="6"/>
    <s v="Blood Sugar"/>
    <s v="normal"/>
    <s v="Low Risk"/>
  </r>
  <r>
    <n v="129"/>
    <x v="128"/>
    <x v="18"/>
    <s v="F"/>
    <n v="5"/>
    <n v="45713"/>
    <n v="45821"/>
    <n v="1"/>
    <n v="5376"/>
    <s v="Stroke"/>
    <s v="Recovered"/>
    <n v="108"/>
    <s v="Blood Pressure"/>
    <s v="High"/>
    <s v="High Risk"/>
  </r>
  <r>
    <n v="130"/>
    <x v="129"/>
    <x v="5"/>
    <s v="F"/>
    <n v="7"/>
    <n v="45818"/>
    <n v="45821"/>
    <n v="1"/>
    <n v="6524"/>
    <s v="Cancer"/>
    <s v="Recovered"/>
    <n v="3"/>
    <s v="Blood Pressure"/>
    <s v="High"/>
    <s v="Low Risk"/>
  </r>
  <r>
    <n v="131"/>
    <x v="130"/>
    <x v="11"/>
    <s v="M"/>
    <n v="9"/>
    <n v="45823"/>
    <n v="45829"/>
    <n v="1"/>
    <n v="3500"/>
    <s v="Kidney Disease"/>
    <s v="Recovered"/>
    <n v="6"/>
    <s v="Creatinine"/>
    <s v="normal"/>
    <s v="Low Risk"/>
  </r>
  <r>
    <n v="132"/>
    <x v="131"/>
    <x v="10"/>
    <s v="F"/>
    <n v="5"/>
    <n v="45774"/>
    <n v="45780"/>
    <n v="3"/>
    <n v="2285"/>
    <s v="Stroke"/>
    <s v="Deceased"/>
    <n v="6"/>
    <s v="Vitamin D"/>
    <s v="High"/>
    <s v="High Risk"/>
  </r>
  <r>
    <n v="133"/>
    <x v="132"/>
    <x v="32"/>
    <s v="M"/>
    <n v="1"/>
    <n v="45791"/>
    <n v="45795"/>
    <n v="3"/>
    <n v="9311"/>
    <s v="Hypertension"/>
    <s v="Deceased"/>
    <n v="4"/>
    <s v="Vitamin D"/>
    <s v="normal"/>
    <s v="High Risk"/>
  </r>
  <r>
    <n v="134"/>
    <x v="133"/>
    <x v="45"/>
    <s v="M"/>
    <n v="10"/>
    <n v="45715"/>
    <n v="45722"/>
    <n v="2"/>
    <n v="5495"/>
    <s v="Liver Disease"/>
    <s v="Complicated"/>
    <n v="7"/>
    <s v="Blood Sugar"/>
    <s v="normal"/>
    <s v="High Risk"/>
  </r>
  <r>
    <n v="135"/>
    <x v="134"/>
    <x v="5"/>
    <s v="F"/>
    <n v="10"/>
    <n v="45701"/>
    <n v="45760"/>
    <n v="2"/>
    <n v="9186"/>
    <s v="Liver Disease"/>
    <s v="Complicated"/>
    <n v="59"/>
    <s v="Blood Sugar"/>
    <s v="High"/>
    <s v="High Risk"/>
  </r>
  <r>
    <n v="136"/>
    <x v="135"/>
    <x v="44"/>
    <s v="F"/>
    <n v="1"/>
    <n v="45830"/>
    <n v="45835"/>
    <n v="1"/>
    <n v="4065"/>
    <s v="Hypertension"/>
    <s v="Recovered"/>
    <n v="5"/>
    <s v="Hemoglobin"/>
    <s v="normal"/>
    <s v="Low Risk"/>
  </r>
  <r>
    <n v="137"/>
    <x v="136"/>
    <x v="44"/>
    <s v="M"/>
    <n v="2"/>
    <n v="45817"/>
    <n v="45819"/>
    <n v="3"/>
    <n v="2768"/>
    <s v="Diabetes"/>
    <s v="Deceased"/>
    <n v="2"/>
    <s v="Creatinine"/>
    <s v="High"/>
    <s v="High Risk"/>
  </r>
  <r>
    <n v="138"/>
    <x v="137"/>
    <x v="22"/>
    <s v="F"/>
    <n v="6"/>
    <n v="45830"/>
    <n v="45840"/>
    <n v="3"/>
    <n v="8733"/>
    <s v="COPD"/>
    <s v="Deceased"/>
    <n v="10"/>
    <s v="Vitamin D"/>
    <s v="High"/>
    <s v="High Risk"/>
  </r>
  <r>
    <n v="139"/>
    <x v="138"/>
    <x v="27"/>
    <s v="F"/>
    <n v="9"/>
    <n v="45718"/>
    <n v="45727"/>
    <n v="3"/>
    <n v="7490"/>
    <s v="Kidney Disease"/>
    <s v="Deceased"/>
    <n v="9"/>
    <s v="Cholesterol"/>
    <s v="High"/>
    <s v="High Risk"/>
  </r>
  <r>
    <n v="140"/>
    <x v="139"/>
    <x v="55"/>
    <s v="M"/>
    <n v="8"/>
    <n v="45704"/>
    <n v="45747"/>
    <n v="2"/>
    <n v="9342"/>
    <s v="Arthritis"/>
    <s v="Complicated"/>
    <n v="43"/>
    <s v="Blood Pressure"/>
    <s v="normal"/>
    <s v="High Risk"/>
  </r>
  <r>
    <n v="141"/>
    <x v="140"/>
    <x v="28"/>
    <s v="M"/>
    <n v="5"/>
    <n v="45806"/>
    <n v="45809"/>
    <n v="2"/>
    <n v="5057"/>
    <s v="Stroke"/>
    <s v="Complicated"/>
    <n v="3"/>
    <s v="Blood Sugar"/>
    <s v="normal"/>
    <s v="High Risk"/>
  </r>
  <r>
    <n v="142"/>
    <x v="141"/>
    <x v="0"/>
    <s v="F"/>
    <n v="1"/>
    <n v="45737"/>
    <n v="45746"/>
    <n v="3"/>
    <n v="6289"/>
    <s v="Hypertension"/>
    <s v="Deceased"/>
    <n v="9"/>
    <s v="Blood Pressure"/>
    <s v="normal"/>
    <s v="High Risk"/>
  </r>
  <r>
    <n v="143"/>
    <x v="142"/>
    <x v="7"/>
    <s v="M"/>
    <n v="7"/>
    <n v="45775"/>
    <n v="45779"/>
    <n v="3"/>
    <n v="8645"/>
    <s v="Cancer"/>
    <s v="Deceased"/>
    <n v="4"/>
    <s v="Blood Pressure"/>
    <s v="High"/>
    <s v="High Risk"/>
  </r>
  <r>
    <n v="144"/>
    <x v="143"/>
    <x v="53"/>
    <s v="M"/>
    <n v="5"/>
    <n v="45821"/>
    <n v="45824"/>
    <n v="3"/>
    <n v="7083"/>
    <s v="Stroke"/>
    <s v="Deceased"/>
    <n v="3"/>
    <s v="Hemoglobin"/>
    <s v="High"/>
    <s v="High Risk"/>
  </r>
  <r>
    <n v="145"/>
    <x v="144"/>
    <x v="29"/>
    <s v="F"/>
    <n v="6"/>
    <n v="45804"/>
    <n v="45812"/>
    <n v="2"/>
    <n v="7232"/>
    <s v="COPD"/>
    <s v="Complicated"/>
    <n v="8"/>
    <s v="Vitamin D"/>
    <s v="normal"/>
    <s v="High Risk"/>
  </r>
  <r>
    <n v="146"/>
    <x v="145"/>
    <x v="36"/>
    <s v="M"/>
    <n v="7"/>
    <n v="45677"/>
    <n v="45765"/>
    <n v="3"/>
    <n v="4161"/>
    <s v="Cancer"/>
    <s v="Deceased"/>
    <n v="88"/>
    <s v="Blood Sugar"/>
    <s v="High"/>
    <s v="High Risk"/>
  </r>
  <r>
    <n v="147"/>
    <x v="146"/>
    <x v="37"/>
    <s v="M"/>
    <n v="3"/>
    <n v="45803"/>
    <n v="45846"/>
    <n v="3"/>
    <n v="5293"/>
    <s v="Heart Disease"/>
    <s v="Deceased"/>
    <n v="43"/>
    <s v="Blood Pressure"/>
    <s v="normal"/>
    <s v="High Risk"/>
  </r>
  <r>
    <n v="148"/>
    <x v="147"/>
    <x v="5"/>
    <s v="F"/>
    <n v="10"/>
    <n v="45704"/>
    <n v="45713"/>
    <n v="1"/>
    <n v="7797"/>
    <s v="Liver Disease"/>
    <s v="Recovered"/>
    <n v="9"/>
    <s v="Blood Sugar"/>
    <s v="High"/>
    <s v="Low Risk"/>
  </r>
  <r>
    <n v="149"/>
    <x v="148"/>
    <x v="23"/>
    <s v="F"/>
    <n v="3"/>
    <n v="45706"/>
    <n v="45793"/>
    <n v="1"/>
    <n v="2946"/>
    <s v="Heart Disease"/>
    <s v="Recovered"/>
    <n v="87"/>
    <s v="Cholesterol"/>
    <s v="High"/>
    <s v="Low Risk"/>
  </r>
  <r>
    <n v="150"/>
    <x v="149"/>
    <x v="48"/>
    <s v="M"/>
    <n v="5"/>
    <n v="45671"/>
    <n v="45722"/>
    <n v="2"/>
    <n v="6926"/>
    <s v="Stroke"/>
    <s v="Complicated"/>
    <n v="51"/>
    <s v="Hemoglobin"/>
    <s v="High"/>
    <s v="High Risk"/>
  </r>
  <r>
    <n v="151"/>
    <x v="150"/>
    <x v="22"/>
    <s v="M"/>
    <n v="6"/>
    <n v="45800"/>
    <n v="45807"/>
    <n v="3"/>
    <n v="9811"/>
    <s v="COPD"/>
    <s v="Deceased"/>
    <n v="7"/>
    <s v="Cholesterol"/>
    <s v="High"/>
    <s v="High Risk"/>
  </r>
  <r>
    <n v="152"/>
    <x v="151"/>
    <x v="51"/>
    <s v="F"/>
    <n v="9"/>
    <n v="45816"/>
    <n v="45821"/>
    <n v="3"/>
    <n v="8016"/>
    <s v="Kidney Disease"/>
    <s v="Deceased"/>
    <n v="5"/>
    <s v="Blood Sugar"/>
    <s v="High"/>
    <s v="High Risk"/>
  </r>
  <r>
    <n v="153"/>
    <x v="152"/>
    <x v="33"/>
    <s v="F"/>
    <n v="5"/>
    <n v="45658"/>
    <n v="45744"/>
    <n v="1"/>
    <n v="5335"/>
    <s v="Stroke"/>
    <s v="Recovered"/>
    <n v="86"/>
    <s v="Blood Sugar"/>
    <s v="High"/>
    <s v="High Risk"/>
  </r>
  <r>
    <n v="154"/>
    <x v="153"/>
    <x v="9"/>
    <s v="F"/>
    <n v="1"/>
    <n v="45774"/>
    <n v="45796"/>
    <n v="2"/>
    <n v="9068"/>
    <s v="Hypertension"/>
    <s v="Complicated"/>
    <n v="22"/>
    <s v="Vitamin D"/>
    <s v="High"/>
    <s v="High Risk"/>
  </r>
  <r>
    <n v="155"/>
    <x v="154"/>
    <x v="11"/>
    <s v="F"/>
    <n v="4"/>
    <n v="45711"/>
    <n v="45775"/>
    <n v="1"/>
    <n v="6150"/>
    <s v="Asthma"/>
    <s v="Recovered"/>
    <n v="64"/>
    <s v="Blood Pressure"/>
    <s v="normal"/>
    <s v="Low Risk"/>
  </r>
  <r>
    <n v="156"/>
    <x v="155"/>
    <x v="35"/>
    <s v="M"/>
    <n v="5"/>
    <n v="45775"/>
    <n v="45820"/>
    <n v="1"/>
    <n v="9810"/>
    <s v="Stroke"/>
    <s v="Recovered"/>
    <n v="45"/>
    <s v="Blood Pressure"/>
    <s v="High"/>
    <s v="High Risk"/>
  </r>
  <r>
    <n v="157"/>
    <x v="156"/>
    <x v="44"/>
    <s v="F"/>
    <n v="10"/>
    <n v="45660"/>
    <n v="45680"/>
    <n v="1"/>
    <n v="6895"/>
    <s v="Liver Disease"/>
    <s v="Recovered"/>
    <n v="20"/>
    <s v="Cholesterol"/>
    <s v="High"/>
    <s v="Low Risk"/>
  </r>
  <r>
    <n v="158"/>
    <x v="157"/>
    <x v="18"/>
    <s v="F"/>
    <n v="10"/>
    <n v="45801"/>
    <n v="45810"/>
    <n v="1"/>
    <n v="6873"/>
    <s v="Liver Disease"/>
    <s v="Recovered"/>
    <n v="9"/>
    <s v="Hemoglobin"/>
    <s v="High"/>
    <s v="High Risk"/>
  </r>
  <r>
    <n v="159"/>
    <x v="158"/>
    <x v="14"/>
    <s v="M"/>
    <n v="5"/>
    <n v="45669"/>
    <n v="45781"/>
    <n v="3"/>
    <n v="3481"/>
    <s v="Stroke"/>
    <s v="Deceased"/>
    <n v="112"/>
    <s v="Creatinine"/>
    <s v="High"/>
    <s v="High Risk"/>
  </r>
  <r>
    <n v="160"/>
    <x v="159"/>
    <x v="16"/>
    <s v="F"/>
    <n v="7"/>
    <n v="45731"/>
    <n v="45735"/>
    <n v="3"/>
    <n v="3901"/>
    <s v="Cancer"/>
    <s v="Deceased"/>
    <n v="4"/>
    <s v="Blood Pressure"/>
    <s v="High"/>
    <s v="High Risk"/>
  </r>
  <r>
    <n v="161"/>
    <x v="160"/>
    <x v="26"/>
    <s v="M"/>
    <n v="4"/>
    <n v="45673"/>
    <n v="45679"/>
    <n v="1"/>
    <n v="8305"/>
    <s v="Asthma"/>
    <s v="Recovered"/>
    <n v="6"/>
    <s v="Vitamin D"/>
    <s v="High"/>
    <s v="Low Risk"/>
  </r>
  <r>
    <n v="162"/>
    <x v="161"/>
    <x v="44"/>
    <s v="F"/>
    <n v="1"/>
    <n v="45759"/>
    <n v="45777"/>
    <n v="2"/>
    <n v="5451"/>
    <s v="Hypertension"/>
    <s v="Complicated"/>
    <n v="18"/>
    <s v="Cholesterol"/>
    <s v="High"/>
    <s v="High Risk"/>
  </r>
  <r>
    <n v="163"/>
    <x v="162"/>
    <x v="54"/>
    <s v="F"/>
    <n v="5"/>
    <n v="45809"/>
    <n v="45817"/>
    <n v="2"/>
    <n v="6064"/>
    <s v="Stroke"/>
    <s v="Complicated"/>
    <n v="8"/>
    <s v="Cholesterol"/>
    <s v="normal"/>
    <s v="High Risk"/>
  </r>
  <r>
    <n v="164"/>
    <x v="163"/>
    <x v="44"/>
    <s v="F"/>
    <n v="7"/>
    <n v="45813"/>
    <n v="45814"/>
    <n v="2"/>
    <n v="8230"/>
    <s v="Cancer"/>
    <s v="Complicated"/>
    <n v="1"/>
    <s v="Creatinine"/>
    <s v="normal"/>
    <s v="High Risk"/>
  </r>
  <r>
    <n v="165"/>
    <x v="164"/>
    <x v="35"/>
    <s v="M"/>
    <n v="10"/>
    <n v="45774"/>
    <n v="45778"/>
    <n v="2"/>
    <n v="2054"/>
    <s v="Liver Disease"/>
    <s v="Complicated"/>
    <n v="4"/>
    <s v="Vitamin D"/>
    <s v="normal"/>
    <s v="High Risk"/>
  </r>
  <r>
    <n v="166"/>
    <x v="165"/>
    <x v="31"/>
    <s v="M"/>
    <n v="10"/>
    <n v="45665"/>
    <n v="45704"/>
    <n v="1"/>
    <n v="9643"/>
    <s v="Liver Disease"/>
    <s v="Recovered"/>
    <n v="39"/>
    <s v="Hemoglobin"/>
    <s v="normal"/>
    <s v="High Risk"/>
  </r>
  <r>
    <n v="167"/>
    <x v="166"/>
    <x v="40"/>
    <s v="F"/>
    <n v="6"/>
    <n v="45779"/>
    <n v="45781"/>
    <n v="3"/>
    <n v="3823"/>
    <s v="COPD"/>
    <s v="Deceased"/>
    <n v="2"/>
    <s v="Vitamin D"/>
    <s v="High"/>
    <s v="High Risk"/>
  </r>
  <r>
    <n v="168"/>
    <x v="167"/>
    <x v="15"/>
    <s v="M"/>
    <n v="5"/>
    <n v="45749"/>
    <n v="45750"/>
    <n v="2"/>
    <n v="7297"/>
    <s v="Stroke"/>
    <s v="Complicated"/>
    <n v="1"/>
    <s v="Hemoglobin"/>
    <s v="normal"/>
    <s v="High Risk"/>
  </r>
  <r>
    <n v="169"/>
    <x v="168"/>
    <x v="54"/>
    <s v="M"/>
    <n v="4"/>
    <n v="45821"/>
    <n v="45827"/>
    <n v="1"/>
    <n v="5462"/>
    <s v="Asthma"/>
    <s v="Recovered"/>
    <n v="6"/>
    <s v="Vitamin D"/>
    <s v="High"/>
    <s v="Low Risk"/>
  </r>
  <r>
    <n v="170"/>
    <x v="169"/>
    <x v="55"/>
    <s v="M"/>
    <n v="2"/>
    <n v="45747"/>
    <n v="45754"/>
    <n v="2"/>
    <n v="9516"/>
    <s v="Diabetes"/>
    <s v="Complicated"/>
    <n v="7"/>
    <s v="Vitamin D"/>
    <s v="High"/>
    <s v="High Risk"/>
  </r>
  <r>
    <n v="171"/>
    <x v="170"/>
    <x v="42"/>
    <s v="M"/>
    <n v="4"/>
    <n v="45793"/>
    <n v="45798"/>
    <n v="2"/>
    <n v="5079"/>
    <s v="Asthma"/>
    <s v="Complicated"/>
    <n v="5"/>
    <s v="Blood Sugar"/>
    <s v="normal"/>
    <s v="High Risk"/>
  </r>
  <r>
    <n v="172"/>
    <x v="171"/>
    <x v="33"/>
    <s v="M"/>
    <n v="10"/>
    <n v="45717"/>
    <n v="45719"/>
    <n v="1"/>
    <n v="2832"/>
    <s v="Liver Disease"/>
    <s v="Recovered"/>
    <n v="2"/>
    <s v="Cholesterol"/>
    <s v="High"/>
    <s v="High Risk"/>
  </r>
  <r>
    <n v="173"/>
    <x v="172"/>
    <x v="40"/>
    <s v="M"/>
    <n v="10"/>
    <n v="45835"/>
    <n v="45839"/>
    <n v="3"/>
    <n v="6408"/>
    <s v="Liver Disease"/>
    <s v="Deceased"/>
    <n v="4"/>
    <s v="Vitamin D"/>
    <s v="High"/>
    <s v="High Risk"/>
  </r>
  <r>
    <n v="174"/>
    <x v="173"/>
    <x v="0"/>
    <s v="F"/>
    <n v="3"/>
    <n v="45685"/>
    <n v="45792"/>
    <n v="3"/>
    <n v="4806"/>
    <s v="Heart Disease"/>
    <s v="Deceased"/>
    <n v="107"/>
    <s v="Creatinine"/>
    <s v="High"/>
    <s v="High Risk"/>
  </r>
  <r>
    <n v="175"/>
    <x v="174"/>
    <x v="26"/>
    <s v="F"/>
    <n v="10"/>
    <n v="45758"/>
    <n v="45768"/>
    <n v="1"/>
    <n v="7954"/>
    <s v="Liver Disease"/>
    <s v="Recovered"/>
    <n v="10"/>
    <s v="Vitamin D"/>
    <s v="High"/>
    <s v="Low Risk"/>
  </r>
  <r>
    <n v="176"/>
    <x v="175"/>
    <x v="37"/>
    <s v="M"/>
    <n v="1"/>
    <n v="45698"/>
    <n v="45704"/>
    <n v="3"/>
    <n v="8103"/>
    <s v="Hypertension"/>
    <s v="Deceased"/>
    <n v="6"/>
    <s v="Blood Pressure"/>
    <s v="High"/>
    <s v="High Risk"/>
  </r>
  <r>
    <n v="177"/>
    <x v="176"/>
    <x v="3"/>
    <s v="F"/>
    <n v="8"/>
    <n v="45812"/>
    <n v="45816"/>
    <n v="1"/>
    <n v="8102"/>
    <s v="Arthritis"/>
    <s v="Recovered"/>
    <n v="4"/>
    <s v="Cholesterol"/>
    <s v="normal"/>
    <s v="Low Risk"/>
  </r>
  <r>
    <n v="178"/>
    <x v="177"/>
    <x v="3"/>
    <s v="F"/>
    <n v="5"/>
    <n v="45802"/>
    <n v="45810"/>
    <n v="1"/>
    <n v="4490"/>
    <s v="Stroke"/>
    <s v="Recovered"/>
    <n v="8"/>
    <s v="Blood Pressure"/>
    <s v="High"/>
    <s v="Low Risk"/>
  </r>
  <r>
    <n v="179"/>
    <x v="178"/>
    <x v="42"/>
    <s v="F"/>
    <n v="4"/>
    <n v="45818"/>
    <n v="45825"/>
    <n v="1"/>
    <n v="7886"/>
    <s v="Asthma"/>
    <s v="Recovered"/>
    <n v="7"/>
    <s v="Cholesterol"/>
    <s v="High"/>
    <s v="Low Risk"/>
  </r>
  <r>
    <n v="180"/>
    <x v="179"/>
    <x v="28"/>
    <s v="F"/>
    <n v="8"/>
    <n v="45814"/>
    <n v="45822"/>
    <n v="3"/>
    <n v="2327"/>
    <s v="Arthritis"/>
    <s v="Deceased"/>
    <n v="8"/>
    <s v="Blood Pressure"/>
    <s v="High"/>
    <s v="High Risk"/>
  </r>
  <r>
    <n v="181"/>
    <x v="180"/>
    <x v="21"/>
    <s v="M"/>
    <n v="7"/>
    <n v="45798"/>
    <n v="45804"/>
    <n v="1"/>
    <n v="9221"/>
    <s v="Cancer"/>
    <s v="Recovered"/>
    <n v="6"/>
    <s v="Vitamin D"/>
    <s v="normal"/>
    <s v="High Risk"/>
  </r>
  <r>
    <n v="182"/>
    <x v="181"/>
    <x v="56"/>
    <s v="F"/>
    <n v="2"/>
    <n v="45703"/>
    <n v="45733"/>
    <n v="2"/>
    <n v="8904"/>
    <s v="Diabetes"/>
    <s v="Complicated"/>
    <n v="30"/>
    <s v="Vitamin D"/>
    <s v="High"/>
    <s v="High Risk"/>
  </r>
  <r>
    <n v="183"/>
    <x v="182"/>
    <x v="32"/>
    <s v="F"/>
    <n v="1"/>
    <n v="45692"/>
    <n v="45775"/>
    <n v="3"/>
    <n v="5310"/>
    <s v="Hypertension"/>
    <s v="Deceased"/>
    <n v="83"/>
    <s v="Blood Sugar"/>
    <s v="normal"/>
    <s v="High Risk"/>
  </r>
  <r>
    <n v="184"/>
    <x v="183"/>
    <x v="57"/>
    <s v="M"/>
    <n v="4"/>
    <n v="45791"/>
    <n v="45812"/>
    <n v="3"/>
    <n v="5300"/>
    <s v="Asthma"/>
    <s v="Deceased"/>
    <n v="21"/>
    <s v="Creatinine"/>
    <s v="normal"/>
    <s v="High Risk"/>
  </r>
  <r>
    <n v="185"/>
    <x v="184"/>
    <x v="0"/>
    <s v="M"/>
    <n v="8"/>
    <n v="45739"/>
    <n v="45777"/>
    <n v="3"/>
    <n v="8722"/>
    <s v="Arthritis"/>
    <s v="Deceased"/>
    <n v="38"/>
    <s v="Blood Pressure"/>
    <s v="normal"/>
    <s v="High Risk"/>
  </r>
  <r>
    <n v="186"/>
    <x v="185"/>
    <x v="25"/>
    <s v="F"/>
    <n v="2"/>
    <n v="45772"/>
    <n v="45777"/>
    <n v="3"/>
    <n v="9218"/>
    <s v="Diabetes"/>
    <s v="Deceased"/>
    <n v="5"/>
    <s v="Hemoglobin"/>
    <s v="High"/>
    <s v="High Risk"/>
  </r>
  <r>
    <n v="187"/>
    <x v="186"/>
    <x v="1"/>
    <s v="F"/>
    <n v="3"/>
    <n v="45704"/>
    <n v="45707"/>
    <n v="2"/>
    <n v="9776"/>
    <s v="Heart Disease"/>
    <s v="Complicated"/>
    <n v="3"/>
    <s v="Blood Sugar"/>
    <s v="High"/>
    <s v="High Risk"/>
  </r>
  <r>
    <n v="188"/>
    <x v="187"/>
    <x v="57"/>
    <s v="F"/>
    <n v="1"/>
    <n v="45810"/>
    <n v="45815"/>
    <n v="3"/>
    <n v="5675"/>
    <s v="Hypertension"/>
    <s v="Deceased"/>
    <n v="5"/>
    <s v="Blood Pressure"/>
    <s v="High"/>
    <s v="High Risk"/>
  </r>
  <r>
    <n v="189"/>
    <x v="188"/>
    <x v="39"/>
    <s v="F"/>
    <n v="1"/>
    <n v="45667"/>
    <n v="45674"/>
    <n v="3"/>
    <n v="5054"/>
    <s v="Hypertension"/>
    <s v="Deceased"/>
    <n v="7"/>
    <s v="Blood Pressure"/>
    <s v="High"/>
    <s v="High Risk"/>
  </r>
  <r>
    <n v="190"/>
    <x v="189"/>
    <x v="19"/>
    <s v="F"/>
    <n v="3"/>
    <n v="45713"/>
    <n v="45834"/>
    <n v="1"/>
    <n v="7383"/>
    <s v="Heart Disease"/>
    <s v="Recovered"/>
    <n v="121"/>
    <s v="Blood Sugar"/>
    <s v="High"/>
    <s v="Low Risk"/>
  </r>
  <r>
    <n v="191"/>
    <x v="190"/>
    <x v="35"/>
    <s v="F"/>
    <n v="5"/>
    <n v="45687"/>
    <n v="45779"/>
    <n v="3"/>
    <n v="9585"/>
    <s v="Stroke"/>
    <s v="Deceased"/>
    <n v="92"/>
    <s v="Vitamin D"/>
    <s v="High"/>
    <s v="High Risk"/>
  </r>
  <r>
    <n v="192"/>
    <x v="191"/>
    <x v="9"/>
    <s v="M"/>
    <n v="3"/>
    <n v="45766"/>
    <n v="45769"/>
    <n v="2"/>
    <n v="9970"/>
    <s v="Heart Disease"/>
    <s v="Complicated"/>
    <n v="3"/>
    <s v="Blood Pressure"/>
    <s v="High"/>
    <s v="High Risk"/>
  </r>
  <r>
    <n v="193"/>
    <x v="192"/>
    <x v="0"/>
    <s v="F"/>
    <n v="1"/>
    <n v="45662"/>
    <n v="45708"/>
    <n v="2"/>
    <n v="4143"/>
    <s v="Hypertension"/>
    <s v="Complicated"/>
    <n v="46"/>
    <s v="Vitamin D"/>
    <s v="High"/>
    <s v="High Risk"/>
  </r>
  <r>
    <n v="194"/>
    <x v="193"/>
    <x v="52"/>
    <s v="F"/>
    <n v="1"/>
    <n v="45776"/>
    <n v="45835"/>
    <n v="2"/>
    <n v="7207"/>
    <s v="Hypertension"/>
    <s v="Complicated"/>
    <n v="59"/>
    <s v="Blood Sugar"/>
    <s v="normal"/>
    <s v="High Risk"/>
  </r>
  <r>
    <n v="195"/>
    <x v="194"/>
    <x v="3"/>
    <s v="M"/>
    <n v="8"/>
    <n v="45690"/>
    <n v="45767"/>
    <n v="2"/>
    <n v="9245"/>
    <s v="Arthritis"/>
    <s v="Complicated"/>
    <n v="77"/>
    <s v="Vitamin D"/>
    <s v="High"/>
    <s v="High Risk"/>
  </r>
  <r>
    <n v="196"/>
    <x v="195"/>
    <x v="4"/>
    <s v="M"/>
    <n v="10"/>
    <n v="45775"/>
    <n v="45779"/>
    <n v="3"/>
    <n v="3311"/>
    <s v="Liver Disease"/>
    <s v="Deceased"/>
    <n v="4"/>
    <s v="Cholesterol"/>
    <s v="High"/>
    <s v="High Risk"/>
  </r>
  <r>
    <n v="197"/>
    <x v="196"/>
    <x v="2"/>
    <s v="M"/>
    <n v="2"/>
    <n v="45722"/>
    <n v="45846"/>
    <n v="3"/>
    <n v="5191"/>
    <s v="Diabetes"/>
    <s v="Deceased"/>
    <n v="124"/>
    <s v="Hemoglobin"/>
    <s v="High"/>
    <s v="High Risk"/>
  </r>
  <r>
    <n v="198"/>
    <x v="197"/>
    <x v="13"/>
    <s v="M"/>
    <n v="3"/>
    <n v="45803"/>
    <n v="45812"/>
    <n v="2"/>
    <n v="8957"/>
    <s v="Heart Disease"/>
    <s v="Complicated"/>
    <n v="9"/>
    <s v="Blood Pressure"/>
    <s v="High"/>
    <s v="High Risk"/>
  </r>
  <r>
    <n v="199"/>
    <x v="198"/>
    <x v="56"/>
    <s v="F"/>
    <n v="2"/>
    <n v="45834"/>
    <n v="45843"/>
    <n v="2"/>
    <n v="4538"/>
    <s v="Diabetes"/>
    <s v="Complicated"/>
    <n v="9"/>
    <s v="Creatinine"/>
    <s v="High"/>
    <s v="High Risk"/>
  </r>
  <r>
    <n v="200"/>
    <x v="199"/>
    <x v="57"/>
    <s v="F"/>
    <n v="3"/>
    <n v="45668"/>
    <n v="45725"/>
    <n v="3"/>
    <n v="5983"/>
    <s v="Heart Disease"/>
    <s v="Deceased"/>
    <n v="57"/>
    <s v="Hemoglobin"/>
    <s v="High"/>
    <s v="High Risk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n v="1"/>
    <x v="0"/>
    <n v="68"/>
    <s v="M"/>
    <n v="2"/>
    <n v="45738"/>
    <n v="45751"/>
    <n v="1"/>
    <n v="4443"/>
    <s v="Diabetes"/>
  </r>
  <r>
    <n v="2"/>
    <x v="1"/>
    <n v="81"/>
    <s v="M"/>
    <n v="2"/>
    <n v="45747"/>
    <n v="45749"/>
    <n v="2"/>
    <n v="4265"/>
    <s v="Diabetes"/>
  </r>
  <r>
    <n v="3"/>
    <x v="2"/>
    <n v="58"/>
    <s v="M"/>
    <n v="6"/>
    <n v="45665"/>
    <n v="45729"/>
    <n v="1"/>
    <n v="4188"/>
    <s v="COPD"/>
  </r>
  <r>
    <n v="4"/>
    <x v="3"/>
    <n v="44"/>
    <s v="F"/>
    <n v="3"/>
    <n v="45750"/>
    <n v="45752"/>
    <n v="1"/>
    <n v="9783"/>
    <s v="Heart Disease"/>
  </r>
  <r>
    <n v="5"/>
    <x v="4"/>
    <n v="72"/>
    <s v="F"/>
    <n v="9"/>
    <n v="45811"/>
    <n v="45812"/>
    <n v="1"/>
    <n v="5005"/>
    <s v="Kidney Disease"/>
  </r>
  <r>
    <n v="6"/>
    <x v="5"/>
    <n v="37"/>
    <s v="F"/>
    <n v="4"/>
    <n v="45747"/>
    <n v="45752"/>
    <n v="1"/>
    <n v="5281"/>
    <s v="Asthma"/>
  </r>
  <r>
    <n v="7"/>
    <x v="6"/>
    <n v="50"/>
    <s v="F"/>
    <n v="1"/>
    <n v="45819"/>
    <n v="45843"/>
    <n v="2"/>
    <n v="2984"/>
    <s v="Hypertension"/>
  </r>
  <r>
    <n v="8"/>
    <x v="7"/>
    <n v="68"/>
    <s v="M"/>
    <n v="4"/>
    <n v="45772"/>
    <n v="45827"/>
    <n v="1"/>
    <n v="9136"/>
    <s v="Asthma"/>
  </r>
  <r>
    <n v="9"/>
    <x v="8"/>
    <n v="87"/>
    <s v="F"/>
    <n v="1"/>
    <n v="45762"/>
    <n v="45764"/>
    <n v="2"/>
    <n v="9790"/>
    <s v="Hypertension"/>
  </r>
  <r>
    <n v="10"/>
    <x v="9"/>
    <n v="48"/>
    <s v="M"/>
    <n v="5"/>
    <n v="45792"/>
    <n v="45796"/>
    <n v="2"/>
    <n v="3639"/>
    <s v="Stroke"/>
  </r>
  <r>
    <n v="11"/>
    <x v="10"/>
    <n v="52"/>
    <s v="M"/>
    <n v="4"/>
    <n v="45715"/>
    <n v="45765"/>
    <n v="3"/>
    <n v="2827"/>
    <s v="Asthma"/>
  </r>
  <r>
    <n v="12"/>
    <x v="11"/>
    <n v="40"/>
    <s v="F"/>
    <n v="8"/>
    <n v="45771"/>
    <n v="45795"/>
    <n v="2"/>
    <n v="4730"/>
    <s v="Arthritis"/>
  </r>
  <r>
    <n v="13"/>
    <x v="12"/>
    <n v="40"/>
    <s v="F"/>
    <n v="8"/>
    <n v="45732"/>
    <n v="45815"/>
    <n v="3"/>
    <n v="5531"/>
    <s v="Arthritis"/>
  </r>
  <r>
    <n v="14"/>
    <x v="13"/>
    <n v="53"/>
    <s v="F"/>
    <n v="7"/>
    <n v="45814"/>
    <n v="45818"/>
    <n v="2"/>
    <n v="9147"/>
    <s v="Cancer"/>
  </r>
  <r>
    <n v="15"/>
    <x v="14"/>
    <n v="82"/>
    <s v="F"/>
    <n v="3"/>
    <n v="45777"/>
    <n v="45780"/>
    <n v="2"/>
    <n v="6451"/>
    <s v="Heart Disease"/>
  </r>
  <r>
    <n v="16"/>
    <x v="15"/>
    <n v="65"/>
    <s v="F"/>
    <n v="1"/>
    <n v="45821"/>
    <n v="45823"/>
    <n v="2"/>
    <n v="9151"/>
    <s v="Hypertension"/>
  </r>
  <r>
    <n v="17"/>
    <x v="16"/>
    <n v="69"/>
    <s v="F"/>
    <n v="1"/>
    <n v="45678"/>
    <n v="45799"/>
    <n v="3"/>
    <n v="7443"/>
    <s v="Hypertension"/>
  </r>
  <r>
    <n v="18"/>
    <x v="17"/>
    <n v="53"/>
    <s v="F"/>
    <n v="3"/>
    <n v="45821"/>
    <n v="45830"/>
    <n v="3"/>
    <n v="9300"/>
    <s v="Heart Disease"/>
  </r>
  <r>
    <n v="19"/>
    <x v="18"/>
    <n v="32"/>
    <s v="F"/>
    <n v="6"/>
    <n v="45795"/>
    <n v="45797"/>
    <n v="1"/>
    <n v="4935"/>
    <s v="COPD"/>
  </r>
  <r>
    <n v="20"/>
    <x v="19"/>
    <n v="51"/>
    <s v="M"/>
    <n v="7"/>
    <n v="45758"/>
    <n v="45847"/>
    <n v="3"/>
    <n v="5876"/>
    <s v="Cancer"/>
  </r>
  <r>
    <n v="21"/>
    <x v="20"/>
    <n v="82"/>
    <s v="F"/>
    <n v="6"/>
    <n v="45809"/>
    <n v="45819"/>
    <n v="3"/>
    <n v="7959"/>
    <s v="COPD"/>
  </r>
  <r>
    <n v="22"/>
    <x v="21"/>
    <n v="31"/>
    <s v="F"/>
    <n v="6"/>
    <n v="45834"/>
    <n v="45841"/>
    <n v="3"/>
    <n v="2126"/>
    <s v="COPD"/>
  </r>
  <r>
    <n v="23"/>
    <x v="22"/>
    <n v="53"/>
    <s v="M"/>
    <n v="6"/>
    <n v="45756"/>
    <n v="45831"/>
    <n v="3"/>
    <n v="5177"/>
    <s v="COPD"/>
  </r>
  <r>
    <n v="24"/>
    <x v="23"/>
    <n v="73"/>
    <s v="F"/>
    <n v="3"/>
    <n v="45693"/>
    <n v="45749"/>
    <n v="1"/>
    <n v="5056"/>
    <s v="Heart Disease"/>
  </r>
  <r>
    <n v="25"/>
    <x v="24"/>
    <n v="59"/>
    <s v="M"/>
    <n v="6"/>
    <n v="45753"/>
    <n v="45811"/>
    <n v="3"/>
    <n v="2603"/>
    <s v="COPD"/>
  </r>
  <r>
    <n v="26"/>
    <x v="25"/>
    <n v="67"/>
    <s v="M"/>
    <n v="8"/>
    <n v="45809"/>
    <n v="45810"/>
    <n v="2"/>
    <n v="9966"/>
    <s v="Arthritis"/>
  </r>
  <r>
    <n v="27"/>
    <x v="26"/>
    <n v="31"/>
    <s v="F"/>
    <n v="2"/>
    <n v="45808"/>
    <n v="45809"/>
    <n v="2"/>
    <n v="5449"/>
    <s v="Diabetes"/>
  </r>
  <r>
    <n v="28"/>
    <x v="27"/>
    <n v="89"/>
    <s v="M"/>
    <n v="5"/>
    <n v="45694"/>
    <n v="45776"/>
    <n v="3"/>
    <n v="8024"/>
    <s v="Stroke"/>
  </r>
  <r>
    <n v="29"/>
    <x v="28"/>
    <n v="50"/>
    <s v="M"/>
    <n v="1"/>
    <n v="45669"/>
    <n v="45671"/>
    <n v="3"/>
    <n v="7109"/>
    <s v="Hypertension"/>
  </r>
  <r>
    <n v="30"/>
    <x v="29"/>
    <n v="62"/>
    <s v="M"/>
    <n v="1"/>
    <n v="45770"/>
    <n v="45774"/>
    <n v="2"/>
    <n v="6146"/>
    <s v="Hypertension"/>
  </r>
  <r>
    <n v="31"/>
    <x v="30"/>
    <n v="41"/>
    <s v="M"/>
    <n v="5"/>
    <n v="45670"/>
    <n v="45839"/>
    <n v="2"/>
    <n v="9196"/>
    <s v="Stroke"/>
  </r>
  <r>
    <n v="32"/>
    <x v="31"/>
    <n v="87"/>
    <s v="F"/>
    <n v="3"/>
    <n v="45680"/>
    <n v="45684"/>
    <n v="1"/>
    <n v="5533"/>
    <s v="Heart Disease"/>
  </r>
  <r>
    <n v="33"/>
    <x v="32"/>
    <n v="51"/>
    <s v="M"/>
    <n v="4"/>
    <n v="45756"/>
    <n v="45779"/>
    <n v="2"/>
    <n v="5367"/>
    <s v="Asthma"/>
  </r>
  <r>
    <n v="34"/>
    <x v="33"/>
    <n v="73"/>
    <s v="F"/>
    <n v="3"/>
    <n v="45762"/>
    <n v="45771"/>
    <n v="2"/>
    <n v="5368"/>
    <s v="Heart Disease"/>
  </r>
  <r>
    <n v="35"/>
    <x v="34"/>
    <n v="54"/>
    <s v="M"/>
    <n v="1"/>
    <n v="45687"/>
    <n v="45700"/>
    <n v="3"/>
    <n v="5797"/>
    <s v="Hypertension"/>
  </r>
  <r>
    <n v="36"/>
    <x v="35"/>
    <n v="78"/>
    <s v="M"/>
    <n v="1"/>
    <n v="45674"/>
    <n v="45758"/>
    <n v="2"/>
    <n v="8922"/>
    <s v="Hypertension"/>
  </r>
  <r>
    <n v="37"/>
    <x v="36"/>
    <n v="56"/>
    <s v="M"/>
    <n v="5"/>
    <n v="45770"/>
    <n v="45780"/>
    <n v="1"/>
    <n v="7526"/>
    <s v="Stroke"/>
  </r>
  <r>
    <n v="38"/>
    <x v="37"/>
    <n v="88"/>
    <s v="M"/>
    <n v="6"/>
    <n v="45719"/>
    <n v="45738"/>
    <n v="2"/>
    <n v="3792"/>
    <s v="COPD"/>
  </r>
  <r>
    <n v="39"/>
    <x v="38"/>
    <n v="71"/>
    <s v="F"/>
    <n v="3"/>
    <n v="45741"/>
    <n v="45742"/>
    <n v="3"/>
    <n v="4861"/>
    <s v="Heart Disease"/>
  </r>
  <r>
    <n v="40"/>
    <x v="39"/>
    <n v="57"/>
    <s v="F"/>
    <n v="9"/>
    <n v="45769"/>
    <n v="45820"/>
    <n v="3"/>
    <n v="7732"/>
    <s v="Kidney Disease"/>
  </r>
  <r>
    <n v="41"/>
    <x v="40"/>
    <n v="89"/>
    <s v="M"/>
    <n v="5"/>
    <n v="45743"/>
    <n v="45828"/>
    <n v="2"/>
    <n v="5476"/>
    <s v="Stroke"/>
  </r>
  <r>
    <n v="42"/>
    <x v="41"/>
    <n v="45"/>
    <s v="M"/>
    <n v="8"/>
    <n v="45798"/>
    <n v="45848"/>
    <n v="3"/>
    <n v="5417"/>
    <s v="Arthritis"/>
  </r>
  <r>
    <n v="43"/>
    <x v="42"/>
    <n v="44"/>
    <s v="F"/>
    <n v="1"/>
    <n v="45676"/>
    <n v="45784"/>
    <n v="1"/>
    <n v="3645"/>
    <s v="Hypertension"/>
  </r>
  <r>
    <n v="44"/>
    <x v="43"/>
    <n v="76"/>
    <s v="M"/>
    <n v="5"/>
    <n v="45834"/>
    <n v="45843"/>
    <n v="1"/>
    <n v="8563"/>
    <s v="Stroke"/>
  </r>
  <r>
    <n v="45"/>
    <x v="44"/>
    <n v="80"/>
    <s v="M"/>
    <n v="3"/>
    <n v="45757"/>
    <n v="45789"/>
    <n v="2"/>
    <n v="3205"/>
    <s v="Heart Disease"/>
  </r>
  <r>
    <n v="46"/>
    <x v="45"/>
    <n v="73"/>
    <s v="M"/>
    <n v="1"/>
    <n v="45797"/>
    <n v="45801"/>
    <n v="2"/>
    <n v="5030"/>
    <s v="Hypertension"/>
  </r>
  <r>
    <n v="47"/>
    <x v="46"/>
    <n v="84"/>
    <s v="F"/>
    <n v="4"/>
    <n v="45804"/>
    <n v="45813"/>
    <n v="2"/>
    <n v="4872"/>
    <s v="Asthma"/>
  </r>
  <r>
    <n v="48"/>
    <x v="47"/>
    <n v="81"/>
    <s v="F"/>
    <n v="5"/>
    <n v="45733"/>
    <n v="45740"/>
    <n v="3"/>
    <n v="5072"/>
    <s v="Stroke"/>
  </r>
  <r>
    <n v="49"/>
    <x v="48"/>
    <n v="86"/>
    <s v="F"/>
    <n v="7"/>
    <n v="45666"/>
    <n v="45799"/>
    <n v="1"/>
    <n v="3854"/>
    <s v="Cancer"/>
  </r>
  <r>
    <n v="50"/>
    <x v="49"/>
    <n v="32"/>
    <s v="M"/>
    <n v="1"/>
    <n v="45685"/>
    <n v="45723"/>
    <n v="1"/>
    <n v="6021"/>
    <s v="Hypertension"/>
  </r>
  <r>
    <n v="51"/>
    <x v="50"/>
    <n v="66"/>
    <s v="M"/>
    <n v="3"/>
    <n v="45785"/>
    <n v="45811"/>
    <n v="3"/>
    <n v="6662"/>
    <s v="Heart Disease"/>
  </r>
  <r>
    <n v="52"/>
    <x v="51"/>
    <n v="80"/>
    <s v="F"/>
    <n v="2"/>
    <n v="45709"/>
    <n v="45778"/>
    <n v="1"/>
    <n v="8514"/>
    <s v="Diabetes"/>
  </r>
  <r>
    <n v="53"/>
    <x v="52"/>
    <n v="36"/>
    <s v="F"/>
    <n v="9"/>
    <n v="45740"/>
    <n v="45744"/>
    <n v="2"/>
    <n v="7031"/>
    <s v="Kidney Disease"/>
  </r>
  <r>
    <n v="54"/>
    <x v="53"/>
    <n v="50"/>
    <s v="F"/>
    <n v="10"/>
    <n v="45768"/>
    <n v="45817"/>
    <n v="2"/>
    <n v="8030"/>
    <s v="Liver Disease"/>
  </r>
  <r>
    <n v="55"/>
    <x v="54"/>
    <n v="38"/>
    <s v="F"/>
    <n v="6"/>
    <n v="45801"/>
    <n v="45809"/>
    <n v="2"/>
    <n v="4708"/>
    <s v="COPD"/>
  </r>
  <r>
    <n v="56"/>
    <x v="55"/>
    <n v="68"/>
    <s v="M"/>
    <n v="10"/>
    <n v="45774"/>
    <n v="45808"/>
    <n v="1"/>
    <n v="5502"/>
    <s v="Liver Disease"/>
  </r>
  <r>
    <n v="57"/>
    <x v="56"/>
    <n v="47"/>
    <s v="F"/>
    <n v="3"/>
    <n v="45726"/>
    <n v="45732"/>
    <n v="2"/>
    <n v="9112"/>
    <s v="Heart Disease"/>
  </r>
  <r>
    <n v="58"/>
    <x v="57"/>
    <n v="33"/>
    <s v="M"/>
    <n v="8"/>
    <n v="45756"/>
    <n v="45766"/>
    <n v="3"/>
    <n v="3332"/>
    <s v="Arthritis"/>
  </r>
  <r>
    <n v="59"/>
    <x v="58"/>
    <n v="54"/>
    <s v="F"/>
    <n v="8"/>
    <n v="45797"/>
    <n v="45845"/>
    <n v="3"/>
    <n v="9304"/>
    <s v="Arthritis"/>
  </r>
  <r>
    <n v="60"/>
    <x v="59"/>
    <n v="89"/>
    <s v="M"/>
    <n v="2"/>
    <n v="45682"/>
    <n v="45769"/>
    <n v="1"/>
    <n v="2201"/>
    <s v="Diabetes"/>
  </r>
  <r>
    <n v="61"/>
    <x v="60"/>
    <n v="43"/>
    <s v="F"/>
    <n v="6"/>
    <n v="45837"/>
    <n v="45842"/>
    <n v="3"/>
    <n v="5507"/>
    <s v="COPD"/>
  </r>
  <r>
    <n v="62"/>
    <x v="61"/>
    <n v="79"/>
    <s v="F"/>
    <n v="7"/>
    <n v="45780"/>
    <n v="45781"/>
    <n v="3"/>
    <n v="8456"/>
    <s v="Cancer"/>
  </r>
  <r>
    <n v="63"/>
    <x v="62"/>
    <n v="87"/>
    <s v="F"/>
    <n v="2"/>
    <n v="45710"/>
    <n v="45716"/>
    <n v="1"/>
    <n v="6212"/>
    <s v="Diabetes"/>
  </r>
  <r>
    <n v="64"/>
    <x v="63"/>
    <n v="38"/>
    <s v="F"/>
    <n v="10"/>
    <n v="45808"/>
    <n v="45811"/>
    <n v="2"/>
    <n v="9833"/>
    <s v="Liver Disease"/>
  </r>
  <r>
    <n v="65"/>
    <x v="64"/>
    <n v="55"/>
    <s v="M"/>
    <n v="2"/>
    <n v="45801"/>
    <n v="45808"/>
    <n v="2"/>
    <n v="7032"/>
    <s v="Diabetes"/>
  </r>
  <r>
    <n v="66"/>
    <x v="65"/>
    <n v="82"/>
    <s v="F"/>
    <n v="10"/>
    <n v="45714"/>
    <n v="45720"/>
    <n v="2"/>
    <n v="9970"/>
    <s v="Liver Disease"/>
  </r>
  <r>
    <n v="67"/>
    <x v="66"/>
    <n v="31"/>
    <s v="M"/>
    <n v="1"/>
    <n v="45696"/>
    <n v="45745"/>
    <n v="1"/>
    <n v="2574"/>
    <s v="Hypertension"/>
  </r>
  <r>
    <n v="68"/>
    <x v="67"/>
    <n v="49"/>
    <s v="M"/>
    <n v="8"/>
    <n v="45766"/>
    <n v="45771"/>
    <n v="3"/>
    <n v="8387"/>
    <s v="Arthritis"/>
  </r>
  <r>
    <n v="69"/>
    <x v="68"/>
    <n v="57"/>
    <s v="M"/>
    <n v="1"/>
    <n v="45838"/>
    <n v="45845"/>
    <n v="2"/>
    <n v="2536"/>
    <s v="Hypertension"/>
  </r>
  <r>
    <n v="70"/>
    <x v="69"/>
    <n v="76"/>
    <s v="M"/>
    <n v="9"/>
    <n v="45699"/>
    <n v="45718"/>
    <n v="2"/>
    <n v="3625"/>
    <s v="Kidney Disease"/>
  </r>
  <r>
    <n v="71"/>
    <x v="70"/>
    <n v="89"/>
    <s v="F"/>
    <n v="6"/>
    <n v="45824"/>
    <n v="45832"/>
    <n v="1"/>
    <n v="4122"/>
    <s v="COPD"/>
  </r>
  <r>
    <n v="72"/>
    <x v="71"/>
    <n v="36"/>
    <s v="M"/>
    <n v="7"/>
    <n v="45799"/>
    <n v="45802"/>
    <n v="2"/>
    <n v="9973"/>
    <s v="Cancer"/>
  </r>
  <r>
    <n v="73"/>
    <x v="72"/>
    <n v="73"/>
    <s v="M"/>
    <n v="10"/>
    <n v="45779"/>
    <n v="45783"/>
    <n v="1"/>
    <n v="2385"/>
    <s v="Liver Disease"/>
  </r>
  <r>
    <n v="74"/>
    <x v="73"/>
    <n v="37"/>
    <s v="M"/>
    <n v="7"/>
    <n v="45790"/>
    <n v="45796"/>
    <n v="3"/>
    <n v="5281"/>
    <s v="Cancer"/>
  </r>
  <r>
    <n v="75"/>
    <x v="74"/>
    <n v="76"/>
    <s v="F"/>
    <n v="10"/>
    <n v="45820"/>
    <n v="45822"/>
    <n v="1"/>
    <n v="2474"/>
    <s v="Liver Disease"/>
  </r>
  <r>
    <n v="76"/>
    <x v="75"/>
    <n v="64"/>
    <s v="F"/>
    <n v="3"/>
    <n v="45732"/>
    <n v="45747"/>
    <n v="1"/>
    <n v="2417"/>
    <s v="Heart Disease"/>
  </r>
  <r>
    <n v="77"/>
    <x v="76"/>
    <n v="43"/>
    <s v="F"/>
    <n v="2"/>
    <n v="45803"/>
    <n v="45805"/>
    <n v="1"/>
    <n v="8490"/>
    <s v="Diabetes"/>
  </r>
  <r>
    <n v="78"/>
    <x v="77"/>
    <n v="46"/>
    <s v="F"/>
    <n v="9"/>
    <n v="45733"/>
    <n v="45740"/>
    <n v="1"/>
    <n v="5600"/>
    <s v="Kidney Disease"/>
  </r>
  <r>
    <n v="79"/>
    <x v="78"/>
    <n v="65"/>
    <s v="M"/>
    <n v="8"/>
    <n v="45666"/>
    <n v="45798"/>
    <n v="3"/>
    <n v="8783"/>
    <s v="Arthritis"/>
  </r>
  <r>
    <n v="80"/>
    <x v="79"/>
    <n v="79"/>
    <s v="M"/>
    <n v="10"/>
    <n v="45731"/>
    <n v="45804"/>
    <n v="3"/>
    <n v="7034"/>
    <s v="Liver Disease"/>
  </r>
  <r>
    <n v="81"/>
    <x v="80"/>
    <n v="69"/>
    <s v="F"/>
    <n v="7"/>
    <n v="45802"/>
    <n v="45811"/>
    <n v="2"/>
    <n v="2954"/>
    <s v="Cancer"/>
  </r>
  <r>
    <n v="82"/>
    <x v="81"/>
    <n v="33"/>
    <s v="M"/>
    <n v="9"/>
    <n v="45664"/>
    <n v="45740"/>
    <n v="3"/>
    <n v="6971"/>
    <s v="Kidney Disease"/>
  </r>
  <r>
    <n v="83"/>
    <x v="82"/>
    <n v="31"/>
    <s v="M"/>
    <n v="4"/>
    <n v="45831"/>
    <n v="45833"/>
    <n v="3"/>
    <n v="6858"/>
    <s v="Asthma"/>
  </r>
  <r>
    <n v="84"/>
    <x v="83"/>
    <n v="35"/>
    <s v="M"/>
    <n v="4"/>
    <n v="45798"/>
    <n v="45804"/>
    <n v="2"/>
    <n v="7298"/>
    <s v="Asthma"/>
  </r>
  <r>
    <n v="85"/>
    <x v="84"/>
    <n v="83"/>
    <s v="F"/>
    <n v="1"/>
    <n v="45825"/>
    <n v="45831"/>
    <n v="3"/>
    <n v="3205"/>
    <s v="Hypertension"/>
  </r>
  <r>
    <n v="86"/>
    <x v="85"/>
    <n v="71"/>
    <s v="F"/>
    <n v="8"/>
    <n v="45827"/>
    <n v="45837"/>
    <n v="1"/>
    <n v="6759"/>
    <s v="Arthritis"/>
  </r>
  <r>
    <n v="87"/>
    <x v="86"/>
    <n v="33"/>
    <s v="M"/>
    <n v="3"/>
    <n v="45794"/>
    <n v="45799"/>
    <n v="1"/>
    <n v="6120"/>
    <s v="Heart Disease"/>
  </r>
  <r>
    <n v="88"/>
    <x v="87"/>
    <n v="83"/>
    <s v="F"/>
    <n v="7"/>
    <n v="45835"/>
    <n v="45836"/>
    <n v="2"/>
    <n v="3990"/>
    <s v="Cancer"/>
  </r>
  <r>
    <n v="89"/>
    <x v="88"/>
    <n v="58"/>
    <s v="F"/>
    <n v="2"/>
    <n v="45684"/>
    <n v="45792"/>
    <n v="2"/>
    <n v="7299"/>
    <s v="Diabetes"/>
  </r>
  <r>
    <n v="90"/>
    <x v="89"/>
    <n v="47"/>
    <s v="F"/>
    <n v="2"/>
    <n v="45779"/>
    <n v="45787"/>
    <n v="2"/>
    <n v="6805"/>
    <s v="Diabetes"/>
  </r>
  <r>
    <n v="91"/>
    <x v="90"/>
    <n v="55"/>
    <s v="F"/>
    <n v="7"/>
    <n v="45662"/>
    <n v="45781"/>
    <n v="1"/>
    <n v="5572"/>
    <s v="Cancer"/>
  </r>
  <r>
    <n v="92"/>
    <x v="91"/>
    <n v="73"/>
    <s v="F"/>
    <n v="6"/>
    <n v="45686"/>
    <n v="45777"/>
    <n v="3"/>
    <n v="7975"/>
    <s v="COPD"/>
  </r>
  <r>
    <n v="93"/>
    <x v="92"/>
    <n v="63"/>
    <s v="M"/>
    <n v="3"/>
    <n v="45822"/>
    <n v="45831"/>
    <n v="1"/>
    <n v="7280"/>
    <s v="Heart Disease"/>
  </r>
  <r>
    <n v="94"/>
    <x v="93"/>
    <n v="39"/>
    <s v="F"/>
    <n v="9"/>
    <n v="45823"/>
    <n v="45825"/>
    <n v="2"/>
    <n v="8320"/>
    <s v="Kidney Disease"/>
  </r>
  <r>
    <n v="95"/>
    <x v="94"/>
    <n v="65"/>
    <s v="M"/>
    <n v="10"/>
    <n v="45740"/>
    <n v="45761"/>
    <n v="3"/>
    <n v="6380"/>
    <s v="Liver Disease"/>
  </r>
  <r>
    <n v="96"/>
    <x v="95"/>
    <n v="43"/>
    <s v="M"/>
    <n v="6"/>
    <n v="45793"/>
    <n v="45800"/>
    <n v="3"/>
    <n v="6158"/>
    <s v="COPD"/>
  </r>
  <r>
    <n v="97"/>
    <x v="96"/>
    <n v="60"/>
    <s v="F"/>
    <n v="10"/>
    <n v="45766"/>
    <n v="45810"/>
    <n v="1"/>
    <n v="7098"/>
    <s v="Liver Disease"/>
  </r>
  <r>
    <n v="98"/>
    <x v="97"/>
    <n v="77"/>
    <s v="M"/>
    <n v="10"/>
    <n v="45722"/>
    <n v="45724"/>
    <n v="2"/>
    <n v="6757"/>
    <s v="Liver Disease"/>
  </r>
  <r>
    <n v="99"/>
    <x v="98"/>
    <n v="44"/>
    <s v="M"/>
    <n v="6"/>
    <n v="45743"/>
    <n v="45798"/>
    <n v="1"/>
    <n v="4713"/>
    <s v="COPD"/>
  </r>
  <r>
    <n v="100"/>
    <x v="99"/>
    <n v="37"/>
    <s v="M"/>
    <n v="1"/>
    <n v="45802"/>
    <n v="45811"/>
    <n v="3"/>
    <n v="4203"/>
    <s v="Hypertension"/>
  </r>
  <r>
    <n v="101"/>
    <x v="100"/>
    <n v="43"/>
    <s v="F"/>
    <n v="4"/>
    <n v="45728"/>
    <n v="45798"/>
    <n v="1"/>
    <n v="7588"/>
    <s v="Asthma"/>
  </r>
  <r>
    <n v="102"/>
    <x v="101"/>
    <n v="52"/>
    <s v="F"/>
    <n v="10"/>
    <n v="45702"/>
    <n v="45707"/>
    <n v="1"/>
    <n v="5120"/>
    <s v="Liver Disease"/>
  </r>
  <r>
    <n v="103"/>
    <x v="102"/>
    <n v="89"/>
    <s v="M"/>
    <n v="6"/>
    <n v="45789"/>
    <n v="45799"/>
    <n v="2"/>
    <n v="2966"/>
    <s v="COPD"/>
  </r>
  <r>
    <n v="104"/>
    <x v="103"/>
    <n v="86"/>
    <s v="F"/>
    <n v="6"/>
    <n v="45693"/>
    <n v="45821"/>
    <n v="2"/>
    <n v="6944"/>
    <s v="COPD"/>
  </r>
  <r>
    <n v="105"/>
    <x v="104"/>
    <n v="69"/>
    <s v="F"/>
    <n v="5"/>
    <n v="45727"/>
    <n v="45759"/>
    <n v="3"/>
    <n v="7203"/>
    <s v="Stroke"/>
  </r>
  <r>
    <n v="106"/>
    <x v="105"/>
    <n v="50"/>
    <s v="F"/>
    <n v="1"/>
    <n v="45816"/>
    <n v="45826"/>
    <n v="1"/>
    <n v="5432"/>
    <s v="Hypertension"/>
  </r>
  <r>
    <n v="107"/>
    <x v="106"/>
    <n v="45"/>
    <s v="F"/>
    <n v="8"/>
    <n v="45676"/>
    <n v="45844"/>
    <n v="1"/>
    <n v="2688"/>
    <s v="Arthritis"/>
  </r>
  <r>
    <n v="108"/>
    <x v="107"/>
    <n v="74"/>
    <s v="M"/>
    <n v="5"/>
    <n v="45765"/>
    <n v="45771"/>
    <n v="1"/>
    <n v="6243"/>
    <s v="Stroke"/>
  </r>
  <r>
    <n v="109"/>
    <x v="108"/>
    <n v="47"/>
    <s v="M"/>
    <n v="5"/>
    <n v="45824"/>
    <n v="45834"/>
    <n v="3"/>
    <n v="5701"/>
    <s v="Stroke"/>
  </r>
  <r>
    <n v="110"/>
    <x v="109"/>
    <n v="76"/>
    <s v="F"/>
    <n v="7"/>
    <n v="45748"/>
    <n v="45752"/>
    <n v="3"/>
    <n v="2341"/>
    <s v="Cancer"/>
  </r>
  <r>
    <n v="111"/>
    <x v="110"/>
    <n v="82"/>
    <s v="F"/>
    <n v="4"/>
    <n v="45747"/>
    <n v="45813"/>
    <n v="2"/>
    <n v="8619"/>
    <s v="Asthma"/>
  </r>
  <r>
    <n v="112"/>
    <x v="111"/>
    <n v="53"/>
    <s v="M"/>
    <n v="6"/>
    <n v="45676"/>
    <n v="45687"/>
    <n v="2"/>
    <n v="7182"/>
    <s v="COPD"/>
  </r>
  <r>
    <n v="113"/>
    <x v="112"/>
    <n v="55"/>
    <s v="M"/>
    <n v="4"/>
    <n v="45696"/>
    <n v="45698"/>
    <n v="2"/>
    <n v="3724"/>
    <s v="Asthma"/>
  </r>
  <r>
    <n v="114"/>
    <x v="113"/>
    <n v="54"/>
    <s v="F"/>
    <n v="3"/>
    <n v="45783"/>
    <n v="45784"/>
    <n v="1"/>
    <n v="7479"/>
    <s v="Heart Disease"/>
  </r>
  <r>
    <n v="115"/>
    <x v="114"/>
    <n v="89"/>
    <s v="M"/>
    <n v="7"/>
    <n v="45830"/>
    <n v="45836"/>
    <n v="1"/>
    <n v="8704"/>
    <s v="Cancer"/>
  </r>
  <r>
    <n v="116"/>
    <x v="115"/>
    <n v="89"/>
    <s v="F"/>
    <n v="8"/>
    <n v="45798"/>
    <n v="45802"/>
    <n v="2"/>
    <n v="6422"/>
    <s v="Arthritis"/>
  </r>
  <r>
    <n v="117"/>
    <x v="116"/>
    <n v="89"/>
    <s v="F"/>
    <n v="4"/>
    <n v="45783"/>
    <n v="45788"/>
    <n v="1"/>
    <n v="3792"/>
    <s v="Asthma"/>
  </r>
  <r>
    <n v="118"/>
    <x v="117"/>
    <n v="74"/>
    <s v="M"/>
    <n v="2"/>
    <n v="45715"/>
    <n v="45815"/>
    <n v="2"/>
    <n v="3759"/>
    <s v="Diabetes"/>
  </r>
  <r>
    <n v="119"/>
    <x v="118"/>
    <n v="70"/>
    <s v="M"/>
    <n v="10"/>
    <n v="45805"/>
    <n v="45807"/>
    <n v="3"/>
    <n v="5212"/>
    <s v="Liver Disease"/>
  </r>
  <r>
    <n v="120"/>
    <x v="119"/>
    <n v="58"/>
    <s v="F"/>
    <n v="3"/>
    <n v="45718"/>
    <n v="45722"/>
    <n v="2"/>
    <n v="2989"/>
    <s v="Heart Disease"/>
  </r>
  <r>
    <n v="121"/>
    <x v="120"/>
    <n v="44"/>
    <s v="F"/>
    <n v="1"/>
    <n v="45784"/>
    <n v="45799"/>
    <n v="3"/>
    <n v="4262"/>
    <s v="Hypertension"/>
  </r>
  <r>
    <n v="122"/>
    <x v="121"/>
    <n v="74"/>
    <s v="M"/>
    <n v="8"/>
    <n v="45762"/>
    <n v="45764"/>
    <n v="1"/>
    <n v="4482"/>
    <s v="Arthritis"/>
  </r>
  <r>
    <n v="123"/>
    <x v="122"/>
    <n v="30"/>
    <s v="F"/>
    <n v="3"/>
    <n v="45824"/>
    <n v="45831"/>
    <n v="2"/>
    <n v="2951"/>
    <s v="Heart Disease"/>
  </r>
  <r>
    <n v="124"/>
    <x v="123"/>
    <n v="54"/>
    <s v="M"/>
    <n v="10"/>
    <n v="45658"/>
    <n v="45712"/>
    <n v="1"/>
    <n v="2722"/>
    <s v="Liver Disease"/>
  </r>
  <r>
    <n v="125"/>
    <x v="124"/>
    <n v="36"/>
    <s v="F"/>
    <n v="7"/>
    <n v="45788"/>
    <n v="45793"/>
    <n v="3"/>
    <n v="5389"/>
    <s v="Cancer"/>
  </r>
  <r>
    <n v="126"/>
    <x v="125"/>
    <n v="38"/>
    <s v="M"/>
    <n v="10"/>
    <n v="45749"/>
    <n v="45843"/>
    <n v="3"/>
    <n v="4079"/>
    <s v="Liver Disease"/>
  </r>
  <r>
    <n v="127"/>
    <x v="126"/>
    <n v="53"/>
    <s v="M"/>
    <n v="5"/>
    <n v="45770"/>
    <n v="45778"/>
    <n v="3"/>
    <n v="4717"/>
    <s v="Stroke"/>
  </r>
  <r>
    <n v="128"/>
    <x v="127"/>
    <n v="30"/>
    <s v="M"/>
    <n v="10"/>
    <n v="45810"/>
    <n v="45816"/>
    <n v="1"/>
    <n v="4332"/>
    <s v="Liver Disease"/>
  </r>
  <r>
    <n v="129"/>
    <x v="128"/>
    <n v="73"/>
    <s v="F"/>
    <n v="5"/>
    <n v="45713"/>
    <n v="45821"/>
    <n v="1"/>
    <n v="5376"/>
    <s v="Stroke"/>
  </r>
  <r>
    <n v="130"/>
    <x v="129"/>
    <n v="37"/>
    <s v="F"/>
    <n v="7"/>
    <n v="45818"/>
    <n v="45821"/>
    <n v="1"/>
    <n v="6524"/>
    <s v="Cancer"/>
  </r>
  <r>
    <n v="131"/>
    <x v="130"/>
    <n v="53"/>
    <s v="M"/>
    <n v="9"/>
    <n v="45823"/>
    <n v="45829"/>
    <n v="1"/>
    <n v="3500"/>
    <s v="Kidney Disease"/>
  </r>
  <r>
    <n v="132"/>
    <x v="131"/>
    <n v="40"/>
    <s v="F"/>
    <n v="5"/>
    <n v="45774"/>
    <n v="45780"/>
    <n v="3"/>
    <n v="2285"/>
    <s v="Stroke"/>
  </r>
  <r>
    <n v="133"/>
    <x v="132"/>
    <n v="80"/>
    <s v="M"/>
    <n v="1"/>
    <n v="45791"/>
    <n v="45795"/>
    <n v="3"/>
    <n v="9311"/>
    <s v="Hypertension"/>
  </r>
  <r>
    <n v="134"/>
    <x v="133"/>
    <n v="46"/>
    <s v="M"/>
    <n v="10"/>
    <n v="45715"/>
    <n v="45722"/>
    <n v="2"/>
    <n v="5495"/>
    <s v="Liver Disease"/>
  </r>
  <r>
    <n v="135"/>
    <x v="134"/>
    <n v="37"/>
    <s v="F"/>
    <n v="10"/>
    <n v="45701"/>
    <n v="45760"/>
    <n v="2"/>
    <n v="9186"/>
    <s v="Liver Disease"/>
  </r>
  <r>
    <n v="136"/>
    <x v="135"/>
    <n v="64"/>
    <s v="F"/>
    <n v="1"/>
    <n v="45830"/>
    <n v="45835"/>
    <n v="1"/>
    <n v="4065"/>
    <s v="Hypertension"/>
  </r>
  <r>
    <n v="137"/>
    <x v="136"/>
    <n v="64"/>
    <s v="M"/>
    <n v="2"/>
    <n v="45817"/>
    <n v="45819"/>
    <n v="3"/>
    <n v="2768"/>
    <s v="Diabetes"/>
  </r>
  <r>
    <n v="138"/>
    <x v="137"/>
    <n v="62"/>
    <s v="F"/>
    <n v="6"/>
    <n v="45830"/>
    <n v="45840"/>
    <n v="3"/>
    <n v="8733"/>
    <s v="COPD"/>
  </r>
  <r>
    <n v="139"/>
    <x v="138"/>
    <n v="88"/>
    <s v="F"/>
    <n v="9"/>
    <n v="45718"/>
    <n v="45727"/>
    <n v="3"/>
    <n v="7490"/>
    <s v="Kidney Disease"/>
  </r>
  <r>
    <n v="140"/>
    <x v="139"/>
    <n v="34"/>
    <s v="M"/>
    <n v="8"/>
    <n v="45704"/>
    <n v="45747"/>
    <n v="2"/>
    <n v="9342"/>
    <s v="Arthritis"/>
  </r>
  <r>
    <n v="141"/>
    <x v="140"/>
    <n v="71"/>
    <s v="M"/>
    <n v="5"/>
    <n v="45806"/>
    <n v="45809"/>
    <n v="2"/>
    <n v="5057"/>
    <s v="Stroke"/>
  </r>
  <r>
    <n v="142"/>
    <x v="141"/>
    <n v="68"/>
    <s v="F"/>
    <n v="1"/>
    <n v="45737"/>
    <n v="45746"/>
    <n v="3"/>
    <n v="6289"/>
    <s v="Hypertension"/>
  </r>
  <r>
    <n v="143"/>
    <x v="142"/>
    <n v="87"/>
    <s v="M"/>
    <n v="7"/>
    <n v="45775"/>
    <n v="45779"/>
    <n v="3"/>
    <n v="8645"/>
    <s v="Cancer"/>
  </r>
  <r>
    <n v="144"/>
    <x v="143"/>
    <n v="70"/>
    <s v="M"/>
    <n v="5"/>
    <n v="45821"/>
    <n v="45824"/>
    <n v="3"/>
    <n v="7083"/>
    <s v="Stroke"/>
  </r>
  <r>
    <n v="145"/>
    <x v="144"/>
    <n v="57"/>
    <s v="F"/>
    <n v="6"/>
    <n v="45804"/>
    <n v="45812"/>
    <n v="2"/>
    <n v="7232"/>
    <s v="COPD"/>
  </r>
  <r>
    <n v="146"/>
    <x v="145"/>
    <n v="36"/>
    <s v="M"/>
    <n v="7"/>
    <n v="45677"/>
    <n v="45765"/>
    <n v="3"/>
    <n v="4161"/>
    <s v="Cancer"/>
  </r>
  <r>
    <n v="147"/>
    <x v="146"/>
    <n v="38"/>
    <s v="M"/>
    <n v="3"/>
    <n v="45803"/>
    <n v="45846"/>
    <n v="3"/>
    <n v="5293"/>
    <s v="Heart Disease"/>
  </r>
  <r>
    <n v="148"/>
    <x v="147"/>
    <n v="37"/>
    <s v="F"/>
    <n v="10"/>
    <n v="45704"/>
    <n v="45713"/>
    <n v="1"/>
    <n v="7797"/>
    <s v="Liver Disease"/>
  </r>
  <r>
    <n v="149"/>
    <x v="148"/>
    <n v="41"/>
    <s v="F"/>
    <n v="3"/>
    <n v="45706"/>
    <n v="45793"/>
    <n v="1"/>
    <n v="2946"/>
    <s v="Heart Disease"/>
  </r>
  <r>
    <n v="150"/>
    <x v="149"/>
    <n v="63"/>
    <s v="M"/>
    <n v="5"/>
    <n v="45671"/>
    <n v="45722"/>
    <n v="2"/>
    <n v="6926"/>
    <s v="Stroke"/>
  </r>
  <r>
    <n v="151"/>
    <x v="150"/>
    <n v="62"/>
    <s v="M"/>
    <n v="6"/>
    <n v="45800"/>
    <n v="45807"/>
    <n v="3"/>
    <n v="9811"/>
    <s v="COPD"/>
  </r>
  <r>
    <n v="152"/>
    <x v="151"/>
    <n v="77"/>
    <s v="F"/>
    <n v="9"/>
    <n v="45816"/>
    <n v="45821"/>
    <n v="3"/>
    <n v="8016"/>
    <s v="Kidney Disease"/>
  </r>
  <r>
    <n v="153"/>
    <x v="152"/>
    <n v="84"/>
    <s v="F"/>
    <n v="5"/>
    <n v="45658"/>
    <n v="45744"/>
    <n v="1"/>
    <n v="5335"/>
    <s v="Stroke"/>
  </r>
  <r>
    <n v="154"/>
    <x v="153"/>
    <n v="52"/>
    <s v="F"/>
    <n v="1"/>
    <n v="45774"/>
    <n v="45796"/>
    <n v="2"/>
    <n v="9068"/>
    <s v="Hypertension"/>
  </r>
  <r>
    <n v="155"/>
    <x v="154"/>
    <n v="53"/>
    <s v="F"/>
    <n v="4"/>
    <n v="45711"/>
    <n v="45775"/>
    <n v="1"/>
    <n v="6150"/>
    <s v="Asthma"/>
  </r>
  <r>
    <n v="156"/>
    <x v="155"/>
    <n v="66"/>
    <s v="M"/>
    <n v="5"/>
    <n v="45775"/>
    <n v="45820"/>
    <n v="1"/>
    <n v="9810"/>
    <s v="Stroke"/>
  </r>
  <r>
    <n v="157"/>
    <x v="156"/>
    <n v="64"/>
    <s v="F"/>
    <n v="10"/>
    <n v="45660"/>
    <n v="45680"/>
    <n v="1"/>
    <n v="6895"/>
    <s v="Liver Disease"/>
  </r>
  <r>
    <n v="158"/>
    <x v="157"/>
    <n v="73"/>
    <s v="F"/>
    <n v="10"/>
    <n v="45801"/>
    <n v="45810"/>
    <n v="1"/>
    <n v="6873"/>
    <s v="Liver Disease"/>
  </r>
  <r>
    <n v="159"/>
    <x v="158"/>
    <n v="69"/>
    <s v="M"/>
    <n v="5"/>
    <n v="45669"/>
    <n v="45781"/>
    <n v="3"/>
    <n v="3481"/>
    <s v="Stroke"/>
  </r>
  <r>
    <n v="160"/>
    <x v="159"/>
    <n v="51"/>
    <s v="F"/>
    <n v="7"/>
    <n v="45731"/>
    <n v="45735"/>
    <n v="3"/>
    <n v="3901"/>
    <s v="Cancer"/>
  </r>
  <r>
    <n v="161"/>
    <x v="160"/>
    <n v="56"/>
    <s v="M"/>
    <n v="4"/>
    <n v="45673"/>
    <n v="45679"/>
    <n v="1"/>
    <n v="8305"/>
    <s v="Asthma"/>
  </r>
  <r>
    <n v="162"/>
    <x v="161"/>
    <n v="64"/>
    <s v="F"/>
    <n v="1"/>
    <n v="45759"/>
    <n v="45777"/>
    <n v="2"/>
    <n v="5451"/>
    <s v="Hypertension"/>
  </r>
  <r>
    <n v="163"/>
    <x v="162"/>
    <n v="30"/>
    <s v="F"/>
    <n v="5"/>
    <n v="45809"/>
    <n v="45817"/>
    <n v="2"/>
    <n v="6064"/>
    <s v="Stroke"/>
  </r>
  <r>
    <n v="164"/>
    <x v="163"/>
    <n v="64"/>
    <s v="F"/>
    <n v="7"/>
    <n v="45813"/>
    <n v="45814"/>
    <n v="2"/>
    <n v="8230"/>
    <s v="Cancer"/>
  </r>
  <r>
    <n v="165"/>
    <x v="164"/>
    <n v="66"/>
    <s v="M"/>
    <n v="10"/>
    <n v="45774"/>
    <n v="45778"/>
    <n v="2"/>
    <n v="2054"/>
    <s v="Liver Disease"/>
  </r>
  <r>
    <n v="166"/>
    <x v="165"/>
    <n v="76"/>
    <s v="M"/>
    <n v="10"/>
    <n v="45665"/>
    <n v="45704"/>
    <n v="1"/>
    <n v="9643"/>
    <s v="Liver Disease"/>
  </r>
  <r>
    <n v="167"/>
    <x v="166"/>
    <n v="43"/>
    <s v="F"/>
    <n v="6"/>
    <n v="45779"/>
    <n v="45781"/>
    <n v="3"/>
    <n v="3823"/>
    <s v="COPD"/>
  </r>
  <r>
    <n v="168"/>
    <x v="167"/>
    <n v="32"/>
    <s v="M"/>
    <n v="5"/>
    <n v="45749"/>
    <n v="45750"/>
    <n v="2"/>
    <n v="7297"/>
    <s v="Stroke"/>
  </r>
  <r>
    <n v="169"/>
    <x v="168"/>
    <n v="30"/>
    <s v="M"/>
    <n v="4"/>
    <n v="45821"/>
    <n v="45827"/>
    <n v="1"/>
    <n v="5462"/>
    <s v="Asthma"/>
  </r>
  <r>
    <n v="170"/>
    <x v="169"/>
    <n v="34"/>
    <s v="M"/>
    <n v="2"/>
    <n v="45747"/>
    <n v="45754"/>
    <n v="2"/>
    <n v="9516"/>
    <s v="Diabetes"/>
  </r>
  <r>
    <n v="171"/>
    <x v="170"/>
    <n v="55"/>
    <s v="M"/>
    <n v="4"/>
    <n v="45793"/>
    <n v="45798"/>
    <n v="2"/>
    <n v="5079"/>
    <s v="Asthma"/>
  </r>
  <r>
    <n v="172"/>
    <x v="171"/>
    <n v="84"/>
    <s v="M"/>
    <n v="10"/>
    <n v="45717"/>
    <n v="45719"/>
    <n v="1"/>
    <n v="2832"/>
    <s v="Liver Disease"/>
  </r>
  <r>
    <n v="173"/>
    <x v="172"/>
    <n v="43"/>
    <s v="M"/>
    <n v="10"/>
    <n v="45835"/>
    <n v="45839"/>
    <n v="3"/>
    <n v="6408"/>
    <s v="Liver Disease"/>
  </r>
  <r>
    <n v="174"/>
    <x v="173"/>
    <n v="68"/>
    <s v="F"/>
    <n v="3"/>
    <n v="45685"/>
    <n v="45792"/>
    <n v="3"/>
    <n v="4806"/>
    <s v="Heart Disease"/>
  </r>
  <r>
    <n v="175"/>
    <x v="174"/>
    <n v="56"/>
    <s v="F"/>
    <n v="10"/>
    <n v="45758"/>
    <n v="45768"/>
    <n v="1"/>
    <n v="7954"/>
    <s v="Liver Disease"/>
  </r>
  <r>
    <n v="176"/>
    <x v="175"/>
    <n v="38"/>
    <s v="M"/>
    <n v="1"/>
    <n v="45698"/>
    <n v="45704"/>
    <n v="3"/>
    <n v="8103"/>
    <s v="Hypertension"/>
  </r>
  <r>
    <n v="177"/>
    <x v="176"/>
    <n v="44"/>
    <s v="F"/>
    <n v="8"/>
    <n v="45812"/>
    <n v="45816"/>
    <n v="1"/>
    <n v="8102"/>
    <s v="Arthritis"/>
  </r>
  <r>
    <n v="178"/>
    <x v="177"/>
    <n v="44"/>
    <s v="F"/>
    <n v="5"/>
    <n v="45802"/>
    <n v="45810"/>
    <n v="1"/>
    <n v="4490"/>
    <s v="Stroke"/>
  </r>
  <r>
    <n v="179"/>
    <x v="178"/>
    <n v="55"/>
    <s v="F"/>
    <n v="4"/>
    <n v="45818"/>
    <n v="45825"/>
    <n v="1"/>
    <n v="7886"/>
    <s v="Asthma"/>
  </r>
  <r>
    <n v="180"/>
    <x v="179"/>
    <n v="71"/>
    <s v="F"/>
    <n v="8"/>
    <n v="45814"/>
    <n v="45822"/>
    <n v="3"/>
    <n v="2327"/>
    <s v="Arthritis"/>
  </r>
  <r>
    <n v="181"/>
    <x v="180"/>
    <n v="89"/>
    <s v="M"/>
    <n v="7"/>
    <n v="45798"/>
    <n v="45804"/>
    <n v="1"/>
    <n v="9221"/>
    <s v="Cancer"/>
  </r>
  <r>
    <n v="182"/>
    <x v="181"/>
    <n v="42"/>
    <s v="F"/>
    <n v="2"/>
    <n v="45703"/>
    <n v="45733"/>
    <n v="2"/>
    <n v="8904"/>
    <s v="Diabetes"/>
  </r>
  <r>
    <n v="183"/>
    <x v="182"/>
    <n v="80"/>
    <s v="F"/>
    <n v="1"/>
    <n v="45692"/>
    <n v="45775"/>
    <n v="3"/>
    <n v="5310"/>
    <s v="Hypertension"/>
  </r>
  <r>
    <n v="184"/>
    <x v="183"/>
    <n v="61"/>
    <s v="M"/>
    <n v="4"/>
    <n v="45791"/>
    <n v="45812"/>
    <n v="3"/>
    <n v="5300"/>
    <s v="Asthma"/>
  </r>
  <r>
    <n v="185"/>
    <x v="184"/>
    <n v="68"/>
    <s v="M"/>
    <n v="8"/>
    <n v="45739"/>
    <n v="45777"/>
    <n v="3"/>
    <n v="8722"/>
    <s v="Arthritis"/>
  </r>
  <r>
    <n v="186"/>
    <x v="185"/>
    <n v="78"/>
    <s v="F"/>
    <n v="2"/>
    <n v="45772"/>
    <n v="45777"/>
    <n v="3"/>
    <n v="9218"/>
    <s v="Diabetes"/>
  </r>
  <r>
    <n v="187"/>
    <x v="186"/>
    <n v="81"/>
    <s v="F"/>
    <n v="3"/>
    <n v="45704"/>
    <n v="45707"/>
    <n v="2"/>
    <n v="9776"/>
    <s v="Heart Disease"/>
  </r>
  <r>
    <n v="188"/>
    <x v="187"/>
    <n v="61"/>
    <s v="F"/>
    <n v="1"/>
    <n v="45810"/>
    <n v="45815"/>
    <n v="3"/>
    <n v="5675"/>
    <s v="Hypertension"/>
  </r>
  <r>
    <n v="189"/>
    <x v="188"/>
    <n v="33"/>
    <s v="F"/>
    <n v="1"/>
    <n v="45667"/>
    <n v="45674"/>
    <n v="3"/>
    <n v="5054"/>
    <s v="Hypertension"/>
  </r>
  <r>
    <n v="190"/>
    <x v="189"/>
    <n v="59"/>
    <s v="F"/>
    <n v="3"/>
    <n v="45713"/>
    <n v="45834"/>
    <n v="1"/>
    <n v="7383"/>
    <s v="Heart Disease"/>
  </r>
  <r>
    <n v="191"/>
    <x v="190"/>
    <n v="66"/>
    <s v="F"/>
    <n v="5"/>
    <n v="45687"/>
    <n v="45779"/>
    <n v="3"/>
    <n v="9585"/>
    <s v="Stroke"/>
  </r>
  <r>
    <n v="192"/>
    <x v="191"/>
    <n v="52"/>
    <s v="M"/>
    <n v="3"/>
    <n v="45766"/>
    <n v="45769"/>
    <n v="2"/>
    <n v="9970"/>
    <s v="Heart Disease"/>
  </r>
  <r>
    <n v="193"/>
    <x v="192"/>
    <n v="68"/>
    <s v="F"/>
    <n v="1"/>
    <n v="45662"/>
    <n v="45708"/>
    <n v="2"/>
    <n v="4143"/>
    <s v="Hypertension"/>
  </r>
  <r>
    <n v="194"/>
    <x v="193"/>
    <n v="74"/>
    <s v="F"/>
    <n v="1"/>
    <n v="45776"/>
    <n v="45835"/>
    <n v="2"/>
    <n v="7207"/>
    <s v="Hypertension"/>
  </r>
  <r>
    <n v="195"/>
    <x v="194"/>
    <n v="44"/>
    <s v="M"/>
    <n v="8"/>
    <n v="45690"/>
    <n v="45767"/>
    <n v="2"/>
    <n v="9245"/>
    <s v="Arthritis"/>
  </r>
  <r>
    <n v="196"/>
    <x v="195"/>
    <n v="72"/>
    <s v="M"/>
    <n v="10"/>
    <n v="45775"/>
    <n v="45779"/>
    <n v="3"/>
    <n v="3311"/>
    <s v="Liver Disease"/>
  </r>
  <r>
    <n v="197"/>
    <x v="196"/>
    <n v="58"/>
    <s v="M"/>
    <n v="2"/>
    <n v="45722"/>
    <n v="45846"/>
    <n v="3"/>
    <n v="5191"/>
    <s v="Diabetes"/>
  </r>
  <r>
    <n v="198"/>
    <x v="197"/>
    <n v="65"/>
    <s v="M"/>
    <n v="3"/>
    <n v="45803"/>
    <n v="45812"/>
    <n v="2"/>
    <n v="8957"/>
    <s v="Heart Disease"/>
  </r>
  <r>
    <n v="199"/>
    <x v="198"/>
    <n v="42"/>
    <s v="F"/>
    <n v="2"/>
    <n v="45834"/>
    <n v="45843"/>
    <n v="2"/>
    <n v="4538"/>
    <s v="Diabetes"/>
  </r>
  <r>
    <n v="200"/>
    <x v="199"/>
    <n v="61"/>
    <s v="F"/>
    <n v="3"/>
    <n v="45668"/>
    <n v="45725"/>
    <n v="3"/>
    <n v="5983"/>
    <s v="Heart Disease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1"/>
    <x v="0"/>
  </r>
  <r>
    <n v="2"/>
    <x v="1"/>
  </r>
  <r>
    <n v="3"/>
    <x v="2"/>
  </r>
  <r>
    <n v="4"/>
    <x v="3"/>
  </r>
  <r>
    <n v="5"/>
    <x v="4"/>
  </r>
  <r>
    <n v="6"/>
    <x v="5"/>
  </r>
  <r>
    <n v="7"/>
    <x v="6"/>
  </r>
  <r>
    <n v="8"/>
    <x v="7"/>
  </r>
  <r>
    <n v="9"/>
    <x v="8"/>
  </r>
  <r>
    <n v="10"/>
    <x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40362C-44A4-4C06-96C0-197F14AC0A56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8" firstHeaderRow="1" firstDataRow="1" firstDataCol="1" rowPageCount="1" colPageCount="1"/>
  <pivotFields count="15">
    <pivotField showAll="0"/>
    <pivotField axis="axisRow" showAll="0">
      <items count="201">
        <item x="24"/>
        <item x="173"/>
        <item x="94"/>
        <item x="135"/>
        <item x="122"/>
        <item x="97"/>
        <item x="193"/>
        <item x="106"/>
        <item x="160"/>
        <item x="34"/>
        <item x="111"/>
        <item x="93"/>
        <item x="115"/>
        <item x="120"/>
        <item x="54"/>
        <item x="108"/>
        <item x="9"/>
        <item x="187"/>
        <item x="35"/>
        <item x="41"/>
        <item x="87"/>
        <item x="104"/>
        <item x="26"/>
        <item x="27"/>
        <item x="134"/>
        <item x="30"/>
        <item x="53"/>
        <item x="46"/>
        <item x="125"/>
        <item x="10"/>
        <item x="47"/>
        <item x="197"/>
        <item x="130"/>
        <item x="18"/>
        <item x="131"/>
        <item x="88"/>
        <item x="58"/>
        <item x="133"/>
        <item x="99"/>
        <item x="13"/>
        <item x="67"/>
        <item x="178"/>
        <item x="190"/>
        <item x="113"/>
        <item x="44"/>
        <item x="96"/>
        <item x="198"/>
        <item x="196"/>
        <item x="151"/>
        <item x="144"/>
        <item x="118"/>
        <item x="0"/>
        <item x="138"/>
        <item x="22"/>
        <item x="81"/>
        <item x="191"/>
        <item x="167"/>
        <item x="180"/>
        <item x="2"/>
        <item x="199"/>
        <item x="169"/>
        <item x="147"/>
        <item x="55"/>
        <item x="4"/>
        <item x="29"/>
        <item x="103"/>
        <item x="123"/>
        <item x="124"/>
        <item x="90"/>
        <item x="188"/>
        <item x="69"/>
        <item x="183"/>
        <item x="7"/>
        <item x="146"/>
        <item x="60"/>
        <item x="62"/>
        <item x="84"/>
        <item x="8"/>
        <item x="149"/>
        <item x="114"/>
        <item x="92"/>
        <item x="121"/>
        <item x="176"/>
        <item x="17"/>
        <item x="145"/>
        <item x="137"/>
        <item x="1"/>
        <item x="161"/>
        <item x="70"/>
        <item x="174"/>
        <item x="194"/>
        <item x="23"/>
        <item x="102"/>
        <item x="136"/>
        <item x="19"/>
        <item x="126"/>
        <item x="95"/>
        <item x="75"/>
        <item x="158"/>
        <item x="91"/>
        <item x="56"/>
        <item x="148"/>
        <item x="28"/>
        <item x="49"/>
        <item x="79"/>
        <item x="43"/>
        <item x="100"/>
        <item x="112"/>
        <item x="85"/>
        <item x="14"/>
        <item x="171"/>
        <item x="12"/>
        <item x="142"/>
        <item x="181"/>
        <item x="159"/>
        <item x="189"/>
        <item x="64"/>
        <item x="83"/>
        <item x="128"/>
        <item x="48"/>
        <item x="3"/>
        <item x="184"/>
        <item x="98"/>
        <item x="172"/>
        <item x="50"/>
        <item x="132"/>
        <item x="38"/>
        <item x="78"/>
        <item x="5"/>
        <item x="74"/>
        <item x="185"/>
        <item x="51"/>
        <item x="164"/>
        <item x="32"/>
        <item x="36"/>
        <item x="110"/>
        <item x="45"/>
        <item x="153"/>
        <item x="127"/>
        <item x="105"/>
        <item x="150"/>
        <item x="192"/>
        <item x="117"/>
        <item x="20"/>
        <item x="42"/>
        <item x="179"/>
        <item x="39"/>
        <item x="15"/>
        <item x="86"/>
        <item x="52"/>
        <item x="109"/>
        <item x="63"/>
        <item x="139"/>
        <item x="165"/>
        <item x="175"/>
        <item x="177"/>
        <item x="129"/>
        <item x="72"/>
        <item x="155"/>
        <item x="40"/>
        <item x="107"/>
        <item x="57"/>
        <item x="186"/>
        <item x="37"/>
        <item x="163"/>
        <item x="16"/>
        <item x="61"/>
        <item x="25"/>
        <item x="119"/>
        <item x="77"/>
        <item x="116"/>
        <item x="80"/>
        <item x="166"/>
        <item x="182"/>
        <item x="157"/>
        <item x="71"/>
        <item x="162"/>
        <item x="168"/>
        <item x="195"/>
        <item x="6"/>
        <item x="66"/>
        <item x="11"/>
        <item x="89"/>
        <item x="68"/>
        <item x="33"/>
        <item x="59"/>
        <item x="152"/>
        <item x="82"/>
        <item x="170"/>
        <item x="65"/>
        <item x="31"/>
        <item x="21"/>
        <item x="154"/>
        <item x="141"/>
        <item x="156"/>
        <item x="101"/>
        <item x="140"/>
        <item x="73"/>
        <item x="143"/>
        <item x="76"/>
        <item t="default"/>
      </items>
    </pivotField>
    <pivotField axis="axisPage" multipleItemSelectionAllowed="1" showAll="0">
      <items count="59">
        <item x="54"/>
        <item h="1" x="17"/>
        <item h="1" x="15"/>
        <item h="1" x="39"/>
        <item h="1" x="55"/>
        <item h="1" x="46"/>
        <item h="1" x="36"/>
        <item h="1" x="5"/>
        <item h="1" x="37"/>
        <item h="1" x="49"/>
        <item h="1" x="10"/>
        <item h="1" x="23"/>
        <item h="1" x="56"/>
        <item h="1" x="40"/>
        <item h="1" x="3"/>
        <item h="1" x="30"/>
        <item h="1" x="45"/>
        <item h="1" x="38"/>
        <item h="1" x="8"/>
        <item h="1" x="43"/>
        <item h="1" x="6"/>
        <item h="1" x="16"/>
        <item h="1" x="9"/>
        <item h="1" x="11"/>
        <item h="1" x="24"/>
        <item h="1" x="42"/>
        <item h="1" x="26"/>
        <item h="1" x="29"/>
        <item h="1" x="2"/>
        <item h="1" x="19"/>
        <item h="1" x="50"/>
        <item h="1" x="57"/>
        <item h="1" x="22"/>
        <item h="1" x="48"/>
        <item h="1" x="44"/>
        <item h="1" x="13"/>
        <item h="1" x="35"/>
        <item h="1" x="20"/>
        <item h="1" x="0"/>
        <item h="1" x="14"/>
        <item h="1" x="53"/>
        <item h="1" x="28"/>
        <item h="1" x="4"/>
        <item h="1" x="18"/>
        <item h="1" x="52"/>
        <item h="1" x="31"/>
        <item h="1" x="51"/>
        <item h="1" x="25"/>
        <item h="1" x="41"/>
        <item h="1" x="32"/>
        <item h="1" x="1"/>
        <item h="1" x="12"/>
        <item h="1" x="47"/>
        <item h="1" x="33"/>
        <item h="1" x="34"/>
        <item h="1" x="7"/>
        <item h="1" x="27"/>
        <item h="1" x="21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5">
    <i>
      <x v="4"/>
    </i>
    <i>
      <x v="138"/>
    </i>
    <i>
      <x v="176"/>
    </i>
    <i>
      <x v="177"/>
    </i>
    <i t="grand">
      <x/>
    </i>
  </rowItems>
  <colItems count="1">
    <i/>
  </colItems>
  <pageFields count="1">
    <pageField fld="2" hier="-1"/>
  </pageFields>
  <dataFields count="1">
    <dataField name="Sum of TreatmentCost" fld="8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A64A2A-F319-4972-BE0F-20DD13C64892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04" firstHeaderRow="1" firstDataRow="1" firstDataCol="1"/>
  <pivotFields count="10">
    <pivotField showAll="0"/>
    <pivotField axis="axisRow" showAll="0">
      <items count="201">
        <item x="24"/>
        <item x="173"/>
        <item x="94"/>
        <item x="135"/>
        <item x="122"/>
        <item x="97"/>
        <item x="193"/>
        <item x="106"/>
        <item x="160"/>
        <item x="34"/>
        <item x="111"/>
        <item x="93"/>
        <item x="115"/>
        <item x="120"/>
        <item x="54"/>
        <item x="108"/>
        <item x="9"/>
        <item x="187"/>
        <item x="35"/>
        <item x="41"/>
        <item x="87"/>
        <item x="104"/>
        <item x="26"/>
        <item x="27"/>
        <item x="134"/>
        <item x="30"/>
        <item x="53"/>
        <item x="46"/>
        <item x="125"/>
        <item x="10"/>
        <item x="47"/>
        <item x="197"/>
        <item x="130"/>
        <item x="18"/>
        <item x="131"/>
        <item x="88"/>
        <item x="58"/>
        <item x="133"/>
        <item x="99"/>
        <item x="13"/>
        <item x="67"/>
        <item x="178"/>
        <item x="190"/>
        <item x="113"/>
        <item x="44"/>
        <item x="96"/>
        <item x="198"/>
        <item x="196"/>
        <item x="151"/>
        <item x="144"/>
        <item x="118"/>
        <item x="0"/>
        <item x="138"/>
        <item x="22"/>
        <item x="81"/>
        <item x="191"/>
        <item x="167"/>
        <item x="180"/>
        <item x="2"/>
        <item x="199"/>
        <item x="169"/>
        <item x="147"/>
        <item x="55"/>
        <item x="4"/>
        <item x="29"/>
        <item x="103"/>
        <item x="123"/>
        <item x="124"/>
        <item x="90"/>
        <item x="188"/>
        <item x="69"/>
        <item x="183"/>
        <item x="7"/>
        <item x="146"/>
        <item x="60"/>
        <item x="62"/>
        <item x="84"/>
        <item x="8"/>
        <item x="149"/>
        <item x="114"/>
        <item x="92"/>
        <item x="121"/>
        <item x="176"/>
        <item x="17"/>
        <item x="145"/>
        <item x="137"/>
        <item x="1"/>
        <item x="161"/>
        <item x="70"/>
        <item x="174"/>
        <item x="194"/>
        <item x="23"/>
        <item x="102"/>
        <item x="136"/>
        <item x="19"/>
        <item x="126"/>
        <item x="95"/>
        <item x="75"/>
        <item x="158"/>
        <item x="91"/>
        <item x="56"/>
        <item x="148"/>
        <item x="28"/>
        <item x="49"/>
        <item x="79"/>
        <item x="43"/>
        <item x="100"/>
        <item x="112"/>
        <item x="85"/>
        <item x="14"/>
        <item x="171"/>
        <item x="12"/>
        <item x="142"/>
        <item x="181"/>
        <item x="159"/>
        <item x="189"/>
        <item x="64"/>
        <item x="83"/>
        <item x="128"/>
        <item x="48"/>
        <item x="3"/>
        <item x="184"/>
        <item x="98"/>
        <item x="172"/>
        <item x="50"/>
        <item x="132"/>
        <item x="38"/>
        <item x="78"/>
        <item x="5"/>
        <item x="74"/>
        <item x="185"/>
        <item x="51"/>
        <item x="164"/>
        <item x="32"/>
        <item x="36"/>
        <item x="110"/>
        <item x="45"/>
        <item x="153"/>
        <item x="127"/>
        <item x="105"/>
        <item x="150"/>
        <item x="192"/>
        <item x="117"/>
        <item x="20"/>
        <item x="42"/>
        <item x="179"/>
        <item x="39"/>
        <item x="15"/>
        <item x="86"/>
        <item x="52"/>
        <item x="109"/>
        <item x="63"/>
        <item x="139"/>
        <item x="165"/>
        <item x="175"/>
        <item x="177"/>
        <item x="129"/>
        <item x="72"/>
        <item x="155"/>
        <item x="40"/>
        <item x="107"/>
        <item x="57"/>
        <item x="186"/>
        <item x="37"/>
        <item x="163"/>
        <item x="16"/>
        <item x="61"/>
        <item x="25"/>
        <item x="119"/>
        <item x="77"/>
        <item x="116"/>
        <item x="80"/>
        <item x="166"/>
        <item x="182"/>
        <item x="157"/>
        <item x="71"/>
        <item x="162"/>
        <item x="168"/>
        <item x="195"/>
        <item x="6"/>
        <item x="66"/>
        <item x="11"/>
        <item x="89"/>
        <item x="68"/>
        <item x="33"/>
        <item x="59"/>
        <item x="152"/>
        <item x="82"/>
        <item x="170"/>
        <item x="65"/>
        <item x="31"/>
        <item x="21"/>
        <item x="154"/>
        <item x="141"/>
        <item x="156"/>
        <item x="101"/>
        <item x="140"/>
        <item x="73"/>
        <item x="143"/>
        <item x="76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1"/>
  </rowFields>
  <rowItems count="2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 t="grand">
      <x/>
    </i>
  </rowItems>
  <colItems count="1">
    <i/>
  </colItems>
  <dataFields count="1">
    <dataField name="Sum of DiagnosisID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7C439D-3806-4E4A-B362-FE899616892D}" name="PivotTable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1:I12" firstHeaderRow="1" firstDataRow="1" firstDataCol="1"/>
  <pivotFields count="2">
    <pivotField dataField="1" showAll="0"/>
    <pivotField axis="axisRow" showAll="0">
      <items count="11">
        <item x="7"/>
        <item x="3"/>
        <item x="6"/>
        <item x="5"/>
        <item x="1"/>
        <item x="2"/>
        <item x="0"/>
        <item x="8"/>
        <item x="9"/>
        <item x="4"/>
        <item t="default"/>
      </items>
    </pivotField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Diagnosis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71D30-E99C-4199-80E4-1AAFB04D4FBD}">
  <dimension ref="A1:B8"/>
  <sheetViews>
    <sheetView tabSelected="1" workbookViewId="0">
      <selection activeCell="D21" sqref="D21"/>
    </sheetView>
  </sheetViews>
  <sheetFormatPr defaultRowHeight="14.4" x14ac:dyDescent="0.3"/>
  <cols>
    <col min="1" max="1" width="17.33203125" bestFit="1" customWidth="1"/>
    <col min="2" max="2" width="20.109375" bestFit="1" customWidth="1"/>
  </cols>
  <sheetData>
    <row r="1" spans="1:2" x14ac:dyDescent="0.3">
      <c r="A1" s="1" t="s">
        <v>2</v>
      </c>
      <c r="B1" s="2">
        <v>30</v>
      </c>
    </row>
    <row r="3" spans="1:2" x14ac:dyDescent="0.3">
      <c r="A3" s="1" t="s">
        <v>247</v>
      </c>
      <c r="B3" t="s">
        <v>249</v>
      </c>
    </row>
    <row r="4" spans="1:2" x14ac:dyDescent="0.3">
      <c r="A4" s="2" t="s">
        <v>133</v>
      </c>
      <c r="B4" s="3">
        <v>2951</v>
      </c>
    </row>
    <row r="5" spans="1:2" x14ac:dyDescent="0.3">
      <c r="A5" s="2" t="s">
        <v>138</v>
      </c>
      <c r="B5" s="3">
        <v>4332</v>
      </c>
    </row>
    <row r="6" spans="1:2" x14ac:dyDescent="0.3">
      <c r="A6" s="2" t="s">
        <v>173</v>
      </c>
      <c r="B6" s="3">
        <v>6064</v>
      </c>
    </row>
    <row r="7" spans="1:2" x14ac:dyDescent="0.3">
      <c r="A7" s="2" t="s">
        <v>179</v>
      </c>
      <c r="B7" s="3">
        <v>5462</v>
      </c>
    </row>
    <row r="8" spans="1:2" x14ac:dyDescent="0.3">
      <c r="A8" s="2" t="s">
        <v>248</v>
      </c>
      <c r="B8" s="3">
        <v>18809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ACFF0-4308-4C1C-AC46-DD8659F7E3A8}">
  <dimension ref="A3:B204"/>
  <sheetViews>
    <sheetView workbookViewId="0">
      <selection activeCell="B17" sqref="B17"/>
    </sheetView>
  </sheetViews>
  <sheetFormatPr defaultRowHeight="14.4" x14ac:dyDescent="0.3"/>
  <cols>
    <col min="1" max="1" width="20.5546875" bestFit="1" customWidth="1"/>
    <col min="2" max="2" width="17.33203125" bestFit="1" customWidth="1"/>
  </cols>
  <sheetData>
    <row r="3" spans="1:2" x14ac:dyDescent="0.3">
      <c r="A3" s="1" t="s">
        <v>247</v>
      </c>
      <c r="B3" t="s">
        <v>250</v>
      </c>
    </row>
    <row r="4" spans="1:2" x14ac:dyDescent="0.3">
      <c r="A4" s="2" t="s">
        <v>35</v>
      </c>
      <c r="B4" s="3">
        <v>6</v>
      </c>
    </row>
    <row r="5" spans="1:2" x14ac:dyDescent="0.3">
      <c r="A5" s="2" t="s">
        <v>184</v>
      </c>
      <c r="B5" s="3">
        <v>3</v>
      </c>
    </row>
    <row r="6" spans="1:2" x14ac:dyDescent="0.3">
      <c r="A6" s="2" t="s">
        <v>105</v>
      </c>
      <c r="B6" s="3">
        <v>10</v>
      </c>
    </row>
    <row r="7" spans="1:2" x14ac:dyDescent="0.3">
      <c r="A7" s="2" t="s">
        <v>146</v>
      </c>
      <c r="B7" s="3">
        <v>1</v>
      </c>
    </row>
    <row r="8" spans="1:2" x14ac:dyDescent="0.3">
      <c r="A8" s="2" t="s">
        <v>133</v>
      </c>
      <c r="B8" s="3">
        <v>3</v>
      </c>
    </row>
    <row r="9" spans="1:2" x14ac:dyDescent="0.3">
      <c r="A9" s="2" t="s">
        <v>108</v>
      </c>
      <c r="B9" s="3">
        <v>10</v>
      </c>
    </row>
    <row r="10" spans="1:2" x14ac:dyDescent="0.3">
      <c r="A10" s="2" t="s">
        <v>204</v>
      </c>
      <c r="B10" s="3">
        <v>1</v>
      </c>
    </row>
    <row r="11" spans="1:2" x14ac:dyDescent="0.3">
      <c r="A11" s="2" t="s">
        <v>117</v>
      </c>
      <c r="B11" s="3">
        <v>8</v>
      </c>
    </row>
    <row r="12" spans="1:2" x14ac:dyDescent="0.3">
      <c r="A12" s="2" t="s">
        <v>171</v>
      </c>
      <c r="B12" s="3">
        <v>4</v>
      </c>
    </row>
    <row r="13" spans="1:2" x14ac:dyDescent="0.3">
      <c r="A13" s="2" t="s">
        <v>45</v>
      </c>
      <c r="B13" s="3">
        <v>1</v>
      </c>
    </row>
    <row r="14" spans="1:2" x14ac:dyDescent="0.3">
      <c r="A14" s="2" t="s">
        <v>122</v>
      </c>
      <c r="B14" s="3">
        <v>6</v>
      </c>
    </row>
    <row r="15" spans="1:2" x14ac:dyDescent="0.3">
      <c r="A15" s="2" t="s">
        <v>104</v>
      </c>
      <c r="B15" s="3">
        <v>9</v>
      </c>
    </row>
    <row r="16" spans="1:2" x14ac:dyDescent="0.3">
      <c r="A16" s="2" t="s">
        <v>126</v>
      </c>
      <c r="B16" s="3">
        <v>8</v>
      </c>
    </row>
    <row r="17" spans="1:2" x14ac:dyDescent="0.3">
      <c r="A17" s="2" t="s">
        <v>131</v>
      </c>
      <c r="B17" s="3">
        <v>1</v>
      </c>
    </row>
    <row r="18" spans="1:2" x14ac:dyDescent="0.3">
      <c r="A18" s="2" t="s">
        <v>65</v>
      </c>
      <c r="B18" s="3">
        <v>6</v>
      </c>
    </row>
    <row r="19" spans="1:2" x14ac:dyDescent="0.3">
      <c r="A19" s="2" t="s">
        <v>119</v>
      </c>
      <c r="B19" s="3">
        <v>5</v>
      </c>
    </row>
    <row r="20" spans="1:2" x14ac:dyDescent="0.3">
      <c r="A20" s="2" t="s">
        <v>20</v>
      </c>
      <c r="B20" s="3">
        <v>5</v>
      </c>
    </row>
    <row r="21" spans="1:2" x14ac:dyDescent="0.3">
      <c r="A21" s="2" t="s">
        <v>198</v>
      </c>
      <c r="B21" s="3">
        <v>1</v>
      </c>
    </row>
    <row r="22" spans="1:2" x14ac:dyDescent="0.3">
      <c r="A22" s="2" t="s">
        <v>46</v>
      </c>
      <c r="B22" s="3">
        <v>1</v>
      </c>
    </row>
    <row r="23" spans="1:2" x14ac:dyDescent="0.3">
      <c r="A23" s="2" t="s">
        <v>52</v>
      </c>
      <c r="B23" s="3">
        <v>8</v>
      </c>
    </row>
    <row r="24" spans="1:2" x14ac:dyDescent="0.3">
      <c r="A24" s="2" t="s">
        <v>98</v>
      </c>
      <c r="B24" s="3">
        <v>7</v>
      </c>
    </row>
    <row r="25" spans="1:2" x14ac:dyDescent="0.3">
      <c r="A25" s="2" t="s">
        <v>115</v>
      </c>
      <c r="B25" s="3">
        <v>5</v>
      </c>
    </row>
    <row r="26" spans="1:2" x14ac:dyDescent="0.3">
      <c r="A26" s="2" t="s">
        <v>37</v>
      </c>
      <c r="B26" s="3">
        <v>2</v>
      </c>
    </row>
    <row r="27" spans="1:2" x14ac:dyDescent="0.3">
      <c r="A27" s="2" t="s">
        <v>38</v>
      </c>
      <c r="B27" s="3">
        <v>5</v>
      </c>
    </row>
    <row r="28" spans="1:2" x14ac:dyDescent="0.3">
      <c r="A28" s="2" t="s">
        <v>145</v>
      </c>
      <c r="B28" s="3">
        <v>10</v>
      </c>
    </row>
    <row r="29" spans="1:2" x14ac:dyDescent="0.3">
      <c r="A29" s="2" t="s">
        <v>41</v>
      </c>
      <c r="B29" s="3">
        <v>5</v>
      </c>
    </row>
    <row r="30" spans="1:2" x14ac:dyDescent="0.3">
      <c r="A30" s="2" t="s">
        <v>64</v>
      </c>
      <c r="B30" s="3">
        <v>10</v>
      </c>
    </row>
    <row r="31" spans="1:2" x14ac:dyDescent="0.3">
      <c r="A31" s="2" t="s">
        <v>57</v>
      </c>
      <c r="B31" s="3">
        <v>4</v>
      </c>
    </row>
    <row r="32" spans="1:2" x14ac:dyDescent="0.3">
      <c r="A32" s="2" t="s">
        <v>136</v>
      </c>
      <c r="B32" s="3">
        <v>10</v>
      </c>
    </row>
    <row r="33" spans="1:2" x14ac:dyDescent="0.3">
      <c r="A33" s="2" t="s">
        <v>21</v>
      </c>
      <c r="B33" s="3">
        <v>4</v>
      </c>
    </row>
    <row r="34" spans="1:2" x14ac:dyDescent="0.3">
      <c r="A34" s="2" t="s">
        <v>58</v>
      </c>
      <c r="B34" s="3">
        <v>5</v>
      </c>
    </row>
    <row r="35" spans="1:2" x14ac:dyDescent="0.3">
      <c r="A35" s="2" t="s">
        <v>208</v>
      </c>
      <c r="B35" s="3">
        <v>3</v>
      </c>
    </row>
    <row r="36" spans="1:2" x14ac:dyDescent="0.3">
      <c r="A36" s="2" t="s">
        <v>141</v>
      </c>
      <c r="B36" s="3">
        <v>9</v>
      </c>
    </row>
    <row r="37" spans="1:2" x14ac:dyDescent="0.3">
      <c r="A37" s="2" t="s">
        <v>29</v>
      </c>
      <c r="B37" s="3">
        <v>6</v>
      </c>
    </row>
    <row r="38" spans="1:2" x14ac:dyDescent="0.3">
      <c r="A38" s="2" t="s">
        <v>142</v>
      </c>
      <c r="B38" s="3">
        <v>5</v>
      </c>
    </row>
    <row r="39" spans="1:2" x14ac:dyDescent="0.3">
      <c r="A39" s="2" t="s">
        <v>99</v>
      </c>
      <c r="B39" s="3">
        <v>2</v>
      </c>
    </row>
    <row r="40" spans="1:2" x14ac:dyDescent="0.3">
      <c r="A40" s="2" t="s">
        <v>69</v>
      </c>
      <c r="B40" s="3">
        <v>8</v>
      </c>
    </row>
    <row r="41" spans="1:2" x14ac:dyDescent="0.3">
      <c r="A41" s="2" t="s">
        <v>144</v>
      </c>
      <c r="B41" s="3">
        <v>10</v>
      </c>
    </row>
    <row r="42" spans="1:2" x14ac:dyDescent="0.3">
      <c r="A42" s="2" t="s">
        <v>110</v>
      </c>
      <c r="B42" s="3">
        <v>1</v>
      </c>
    </row>
    <row r="43" spans="1:2" x14ac:dyDescent="0.3">
      <c r="A43" s="2" t="s">
        <v>24</v>
      </c>
      <c r="B43" s="3">
        <v>7</v>
      </c>
    </row>
    <row r="44" spans="1:2" x14ac:dyDescent="0.3">
      <c r="A44" s="2" t="s">
        <v>78</v>
      </c>
      <c r="B44" s="3">
        <v>8</v>
      </c>
    </row>
    <row r="45" spans="1:2" x14ac:dyDescent="0.3">
      <c r="A45" s="2" t="s">
        <v>189</v>
      </c>
      <c r="B45" s="3">
        <v>4</v>
      </c>
    </row>
    <row r="46" spans="1:2" x14ac:dyDescent="0.3">
      <c r="A46" s="2" t="s">
        <v>201</v>
      </c>
      <c r="B46" s="3">
        <v>5</v>
      </c>
    </row>
    <row r="47" spans="1:2" x14ac:dyDescent="0.3">
      <c r="A47" s="2" t="s">
        <v>124</v>
      </c>
      <c r="B47" s="3">
        <v>3</v>
      </c>
    </row>
    <row r="48" spans="1:2" x14ac:dyDescent="0.3">
      <c r="A48" s="2" t="s">
        <v>55</v>
      </c>
      <c r="B48" s="3">
        <v>3</v>
      </c>
    </row>
    <row r="49" spans="1:2" x14ac:dyDescent="0.3">
      <c r="A49" s="2" t="s">
        <v>107</v>
      </c>
      <c r="B49" s="3">
        <v>10</v>
      </c>
    </row>
    <row r="50" spans="1:2" x14ac:dyDescent="0.3">
      <c r="A50" s="2" t="s">
        <v>209</v>
      </c>
      <c r="B50" s="3">
        <v>2</v>
      </c>
    </row>
    <row r="51" spans="1:2" x14ac:dyDescent="0.3">
      <c r="A51" s="2" t="s">
        <v>207</v>
      </c>
      <c r="B51" s="3">
        <v>2</v>
      </c>
    </row>
    <row r="52" spans="1:2" x14ac:dyDescent="0.3">
      <c r="A52" s="2" t="s">
        <v>162</v>
      </c>
      <c r="B52" s="3">
        <v>9</v>
      </c>
    </row>
    <row r="53" spans="1:2" x14ac:dyDescent="0.3">
      <c r="A53" s="2" t="s">
        <v>155</v>
      </c>
      <c r="B53" s="3">
        <v>6</v>
      </c>
    </row>
    <row r="54" spans="1:2" x14ac:dyDescent="0.3">
      <c r="A54" s="2" t="s">
        <v>129</v>
      </c>
      <c r="B54" s="3">
        <v>10</v>
      </c>
    </row>
    <row r="55" spans="1:2" x14ac:dyDescent="0.3">
      <c r="A55" s="2" t="s">
        <v>9</v>
      </c>
      <c r="B55" s="3">
        <v>2</v>
      </c>
    </row>
    <row r="56" spans="1:2" x14ac:dyDescent="0.3">
      <c r="A56" s="2" t="s">
        <v>149</v>
      </c>
      <c r="B56" s="3">
        <v>9</v>
      </c>
    </row>
    <row r="57" spans="1:2" x14ac:dyDescent="0.3">
      <c r="A57" s="2" t="s">
        <v>33</v>
      </c>
      <c r="B57" s="3">
        <v>6</v>
      </c>
    </row>
    <row r="58" spans="1:2" x14ac:dyDescent="0.3">
      <c r="A58" s="2" t="s">
        <v>92</v>
      </c>
      <c r="B58" s="3">
        <v>9</v>
      </c>
    </row>
    <row r="59" spans="1:2" x14ac:dyDescent="0.3">
      <c r="A59" s="2" t="s">
        <v>202</v>
      </c>
      <c r="B59" s="3">
        <v>3</v>
      </c>
    </row>
    <row r="60" spans="1:2" x14ac:dyDescent="0.3">
      <c r="A60" s="2" t="s">
        <v>178</v>
      </c>
      <c r="B60" s="3">
        <v>5</v>
      </c>
    </row>
    <row r="61" spans="1:2" x14ac:dyDescent="0.3">
      <c r="A61" s="2" t="s">
        <v>191</v>
      </c>
      <c r="B61" s="3">
        <v>7</v>
      </c>
    </row>
    <row r="62" spans="1:2" x14ac:dyDescent="0.3">
      <c r="A62" s="2" t="s">
        <v>12</v>
      </c>
      <c r="B62" s="3">
        <v>6</v>
      </c>
    </row>
    <row r="63" spans="1:2" x14ac:dyDescent="0.3">
      <c r="A63" s="2" t="s">
        <v>210</v>
      </c>
      <c r="B63" s="3">
        <v>3</v>
      </c>
    </row>
    <row r="64" spans="1:2" x14ac:dyDescent="0.3">
      <c r="A64" s="2" t="s">
        <v>180</v>
      </c>
      <c r="B64" s="3">
        <v>2</v>
      </c>
    </row>
    <row r="65" spans="1:2" x14ac:dyDescent="0.3">
      <c r="A65" s="2" t="s">
        <v>158</v>
      </c>
      <c r="B65" s="3">
        <v>10</v>
      </c>
    </row>
    <row r="66" spans="1:2" x14ac:dyDescent="0.3">
      <c r="A66" s="2" t="s">
        <v>66</v>
      </c>
      <c r="B66" s="3">
        <v>10</v>
      </c>
    </row>
    <row r="67" spans="1:2" x14ac:dyDescent="0.3">
      <c r="A67" s="2" t="s">
        <v>15</v>
      </c>
      <c r="B67" s="3">
        <v>9</v>
      </c>
    </row>
    <row r="68" spans="1:2" x14ac:dyDescent="0.3">
      <c r="A68" s="2" t="s">
        <v>40</v>
      </c>
      <c r="B68" s="3">
        <v>1</v>
      </c>
    </row>
    <row r="69" spans="1:2" x14ac:dyDescent="0.3">
      <c r="A69" s="2" t="s">
        <v>114</v>
      </c>
      <c r="B69" s="3">
        <v>6</v>
      </c>
    </row>
    <row r="70" spans="1:2" x14ac:dyDescent="0.3">
      <c r="A70" s="2" t="s">
        <v>134</v>
      </c>
      <c r="B70" s="3">
        <v>10</v>
      </c>
    </row>
    <row r="71" spans="1:2" x14ac:dyDescent="0.3">
      <c r="A71" s="2" t="s">
        <v>135</v>
      </c>
      <c r="B71" s="3">
        <v>7</v>
      </c>
    </row>
    <row r="72" spans="1:2" x14ac:dyDescent="0.3">
      <c r="A72" s="2" t="s">
        <v>101</v>
      </c>
      <c r="B72" s="3">
        <v>7</v>
      </c>
    </row>
    <row r="73" spans="1:2" x14ac:dyDescent="0.3">
      <c r="A73" s="2" t="s">
        <v>199</v>
      </c>
      <c r="B73" s="3">
        <v>1</v>
      </c>
    </row>
    <row r="74" spans="1:2" x14ac:dyDescent="0.3">
      <c r="A74" s="2" t="s">
        <v>80</v>
      </c>
      <c r="B74" s="3">
        <v>9</v>
      </c>
    </row>
    <row r="75" spans="1:2" x14ac:dyDescent="0.3">
      <c r="A75" s="2" t="s">
        <v>194</v>
      </c>
      <c r="B75" s="3">
        <v>4</v>
      </c>
    </row>
    <row r="76" spans="1:2" x14ac:dyDescent="0.3">
      <c r="A76" s="2" t="s">
        <v>18</v>
      </c>
      <c r="B76" s="3">
        <v>4</v>
      </c>
    </row>
    <row r="77" spans="1:2" x14ac:dyDescent="0.3">
      <c r="A77" s="2" t="s">
        <v>157</v>
      </c>
      <c r="B77" s="3">
        <v>3</v>
      </c>
    </row>
    <row r="78" spans="1:2" x14ac:dyDescent="0.3">
      <c r="A78" s="2" t="s">
        <v>71</v>
      </c>
      <c r="B78" s="3">
        <v>6</v>
      </c>
    </row>
    <row r="79" spans="1:2" x14ac:dyDescent="0.3">
      <c r="A79" s="2" t="s">
        <v>73</v>
      </c>
      <c r="B79" s="3">
        <v>2</v>
      </c>
    </row>
    <row r="80" spans="1:2" x14ac:dyDescent="0.3">
      <c r="A80" s="2" t="s">
        <v>95</v>
      </c>
      <c r="B80" s="3">
        <v>1</v>
      </c>
    </row>
    <row r="81" spans="1:2" x14ac:dyDescent="0.3">
      <c r="A81" s="2" t="s">
        <v>19</v>
      </c>
      <c r="B81" s="3">
        <v>1</v>
      </c>
    </row>
    <row r="82" spans="1:2" x14ac:dyDescent="0.3">
      <c r="A82" s="2" t="s">
        <v>160</v>
      </c>
      <c r="B82" s="3">
        <v>5</v>
      </c>
    </row>
    <row r="83" spans="1:2" x14ac:dyDescent="0.3">
      <c r="A83" s="2" t="s">
        <v>125</v>
      </c>
      <c r="B83" s="3">
        <v>7</v>
      </c>
    </row>
    <row r="84" spans="1:2" x14ac:dyDescent="0.3">
      <c r="A84" s="2" t="s">
        <v>103</v>
      </c>
      <c r="B84" s="3">
        <v>3</v>
      </c>
    </row>
    <row r="85" spans="1:2" x14ac:dyDescent="0.3">
      <c r="A85" s="2" t="s">
        <v>132</v>
      </c>
      <c r="B85" s="3">
        <v>8</v>
      </c>
    </row>
    <row r="86" spans="1:2" x14ac:dyDescent="0.3">
      <c r="A86" s="2" t="s">
        <v>187</v>
      </c>
      <c r="B86" s="3">
        <v>8</v>
      </c>
    </row>
    <row r="87" spans="1:2" x14ac:dyDescent="0.3">
      <c r="A87" s="2" t="s">
        <v>28</v>
      </c>
      <c r="B87" s="3">
        <v>3</v>
      </c>
    </row>
    <row r="88" spans="1:2" x14ac:dyDescent="0.3">
      <c r="A88" s="2" t="s">
        <v>156</v>
      </c>
      <c r="B88" s="3">
        <v>7</v>
      </c>
    </row>
    <row r="89" spans="1:2" x14ac:dyDescent="0.3">
      <c r="A89" s="2" t="s">
        <v>148</v>
      </c>
      <c r="B89" s="3">
        <v>6</v>
      </c>
    </row>
    <row r="90" spans="1:2" x14ac:dyDescent="0.3">
      <c r="A90" s="2" t="s">
        <v>11</v>
      </c>
      <c r="B90" s="3">
        <v>2</v>
      </c>
    </row>
    <row r="91" spans="1:2" x14ac:dyDescent="0.3">
      <c r="A91" s="2" t="s">
        <v>172</v>
      </c>
      <c r="B91" s="3">
        <v>1</v>
      </c>
    </row>
    <row r="92" spans="1:2" x14ac:dyDescent="0.3">
      <c r="A92" s="2" t="s">
        <v>81</v>
      </c>
      <c r="B92" s="3">
        <v>6</v>
      </c>
    </row>
    <row r="93" spans="1:2" x14ac:dyDescent="0.3">
      <c r="A93" s="2" t="s">
        <v>185</v>
      </c>
      <c r="B93" s="3">
        <v>10</v>
      </c>
    </row>
    <row r="94" spans="1:2" x14ac:dyDescent="0.3">
      <c r="A94" s="2" t="s">
        <v>205</v>
      </c>
      <c r="B94" s="3">
        <v>8</v>
      </c>
    </row>
    <row r="95" spans="1:2" x14ac:dyDescent="0.3">
      <c r="A95" s="2" t="s">
        <v>34</v>
      </c>
      <c r="B95" s="3">
        <v>3</v>
      </c>
    </row>
    <row r="96" spans="1:2" x14ac:dyDescent="0.3">
      <c r="A96" s="2" t="s">
        <v>113</v>
      </c>
      <c r="B96" s="3">
        <v>6</v>
      </c>
    </row>
    <row r="97" spans="1:2" x14ac:dyDescent="0.3">
      <c r="A97" s="2" t="s">
        <v>147</v>
      </c>
      <c r="B97" s="3">
        <v>2</v>
      </c>
    </row>
    <row r="98" spans="1:2" x14ac:dyDescent="0.3">
      <c r="A98" s="2" t="s">
        <v>30</v>
      </c>
      <c r="B98" s="3">
        <v>7</v>
      </c>
    </row>
    <row r="99" spans="1:2" x14ac:dyDescent="0.3">
      <c r="A99" s="2" t="s">
        <v>137</v>
      </c>
      <c r="B99" s="3">
        <v>5</v>
      </c>
    </row>
    <row r="100" spans="1:2" x14ac:dyDescent="0.3">
      <c r="A100" s="2" t="s">
        <v>106</v>
      </c>
      <c r="B100" s="3">
        <v>6</v>
      </c>
    </row>
    <row r="101" spans="1:2" x14ac:dyDescent="0.3">
      <c r="A101" s="2" t="s">
        <v>86</v>
      </c>
      <c r="B101" s="3">
        <v>3</v>
      </c>
    </row>
    <row r="102" spans="1:2" x14ac:dyDescent="0.3">
      <c r="A102" s="2" t="s">
        <v>169</v>
      </c>
      <c r="B102" s="3">
        <v>5</v>
      </c>
    </row>
    <row r="103" spans="1:2" x14ac:dyDescent="0.3">
      <c r="A103" s="2" t="s">
        <v>102</v>
      </c>
      <c r="B103" s="3">
        <v>6</v>
      </c>
    </row>
    <row r="104" spans="1:2" x14ac:dyDescent="0.3">
      <c r="A104" s="2" t="s">
        <v>67</v>
      </c>
      <c r="B104" s="3">
        <v>3</v>
      </c>
    </row>
    <row r="105" spans="1:2" x14ac:dyDescent="0.3">
      <c r="A105" s="2" t="s">
        <v>159</v>
      </c>
      <c r="B105" s="3">
        <v>3</v>
      </c>
    </row>
    <row r="106" spans="1:2" x14ac:dyDescent="0.3">
      <c r="A106" s="2" t="s">
        <v>39</v>
      </c>
      <c r="B106" s="3">
        <v>1</v>
      </c>
    </row>
    <row r="107" spans="1:2" x14ac:dyDescent="0.3">
      <c r="A107" s="2" t="s">
        <v>60</v>
      </c>
      <c r="B107" s="3">
        <v>1</v>
      </c>
    </row>
    <row r="108" spans="1:2" x14ac:dyDescent="0.3">
      <c r="A108" s="2" t="s">
        <v>90</v>
      </c>
      <c r="B108" s="3">
        <v>10</v>
      </c>
    </row>
    <row r="109" spans="1:2" x14ac:dyDescent="0.3">
      <c r="A109" s="2" t="s">
        <v>54</v>
      </c>
      <c r="B109" s="3">
        <v>5</v>
      </c>
    </row>
    <row r="110" spans="1:2" x14ac:dyDescent="0.3">
      <c r="A110" s="2" t="s">
        <v>111</v>
      </c>
      <c r="B110" s="3">
        <v>4</v>
      </c>
    </row>
    <row r="111" spans="1:2" x14ac:dyDescent="0.3">
      <c r="A111" s="2" t="s">
        <v>123</v>
      </c>
      <c r="B111" s="3">
        <v>4</v>
      </c>
    </row>
    <row r="112" spans="1:2" x14ac:dyDescent="0.3">
      <c r="A112" s="2" t="s">
        <v>96</v>
      </c>
      <c r="B112" s="3">
        <v>8</v>
      </c>
    </row>
    <row r="113" spans="1:2" x14ac:dyDescent="0.3">
      <c r="A113" s="2" t="s">
        <v>25</v>
      </c>
      <c r="B113" s="3">
        <v>3</v>
      </c>
    </row>
    <row r="114" spans="1:2" x14ac:dyDescent="0.3">
      <c r="A114" s="2" t="s">
        <v>182</v>
      </c>
      <c r="B114" s="3">
        <v>10</v>
      </c>
    </row>
    <row r="115" spans="1:2" x14ac:dyDescent="0.3">
      <c r="A115" s="2" t="s">
        <v>23</v>
      </c>
      <c r="B115" s="3">
        <v>8</v>
      </c>
    </row>
    <row r="116" spans="1:2" x14ac:dyDescent="0.3">
      <c r="A116" s="2" t="s">
        <v>153</v>
      </c>
      <c r="B116" s="3">
        <v>7</v>
      </c>
    </row>
    <row r="117" spans="1:2" x14ac:dyDescent="0.3">
      <c r="A117" s="2" t="s">
        <v>192</v>
      </c>
      <c r="B117" s="3">
        <v>2</v>
      </c>
    </row>
    <row r="118" spans="1:2" x14ac:dyDescent="0.3">
      <c r="A118" s="2" t="s">
        <v>170</v>
      </c>
      <c r="B118" s="3">
        <v>7</v>
      </c>
    </row>
    <row r="119" spans="1:2" x14ac:dyDescent="0.3">
      <c r="A119" s="2" t="s">
        <v>200</v>
      </c>
      <c r="B119" s="3">
        <v>3</v>
      </c>
    </row>
    <row r="120" spans="1:2" x14ac:dyDescent="0.3">
      <c r="A120" s="2" t="s">
        <v>75</v>
      </c>
      <c r="B120" s="3">
        <v>2</v>
      </c>
    </row>
    <row r="121" spans="1:2" x14ac:dyDescent="0.3">
      <c r="A121" s="2" t="s">
        <v>94</v>
      </c>
      <c r="B121" s="3">
        <v>4</v>
      </c>
    </row>
    <row r="122" spans="1:2" x14ac:dyDescent="0.3">
      <c r="A122" s="2" t="s">
        <v>139</v>
      </c>
      <c r="B122" s="3">
        <v>5</v>
      </c>
    </row>
    <row r="123" spans="1:2" x14ac:dyDescent="0.3">
      <c r="A123" s="2" t="s">
        <v>59</v>
      </c>
      <c r="B123" s="3">
        <v>7</v>
      </c>
    </row>
    <row r="124" spans="1:2" x14ac:dyDescent="0.3">
      <c r="A124" s="2" t="s">
        <v>13</v>
      </c>
      <c r="B124" s="3">
        <v>3</v>
      </c>
    </row>
    <row r="125" spans="1:2" x14ac:dyDescent="0.3">
      <c r="A125" s="2" t="s">
        <v>195</v>
      </c>
      <c r="B125" s="3">
        <v>8</v>
      </c>
    </row>
    <row r="126" spans="1:2" x14ac:dyDescent="0.3">
      <c r="A126" s="2" t="s">
        <v>109</v>
      </c>
      <c r="B126" s="3">
        <v>6</v>
      </c>
    </row>
    <row r="127" spans="1:2" x14ac:dyDescent="0.3">
      <c r="A127" s="2" t="s">
        <v>183</v>
      </c>
      <c r="B127" s="3">
        <v>10</v>
      </c>
    </row>
    <row r="128" spans="1:2" x14ac:dyDescent="0.3">
      <c r="A128" s="2" t="s">
        <v>61</v>
      </c>
      <c r="B128" s="3">
        <v>3</v>
      </c>
    </row>
    <row r="129" spans="1:2" x14ac:dyDescent="0.3">
      <c r="A129" s="2" t="s">
        <v>143</v>
      </c>
      <c r="B129" s="3">
        <v>1</v>
      </c>
    </row>
    <row r="130" spans="1:2" x14ac:dyDescent="0.3">
      <c r="A130" s="2" t="s">
        <v>49</v>
      </c>
      <c r="B130" s="3">
        <v>3</v>
      </c>
    </row>
    <row r="131" spans="1:2" x14ac:dyDescent="0.3">
      <c r="A131" s="2" t="s">
        <v>89</v>
      </c>
      <c r="B131" s="3">
        <v>8</v>
      </c>
    </row>
    <row r="132" spans="1:2" x14ac:dyDescent="0.3">
      <c r="A132" s="2" t="s">
        <v>16</v>
      </c>
      <c r="B132" s="3">
        <v>4</v>
      </c>
    </row>
    <row r="133" spans="1:2" x14ac:dyDescent="0.3">
      <c r="A133" s="2" t="s">
        <v>85</v>
      </c>
      <c r="B133" s="3">
        <v>10</v>
      </c>
    </row>
    <row r="134" spans="1:2" x14ac:dyDescent="0.3">
      <c r="A134" s="2" t="s">
        <v>196</v>
      </c>
      <c r="B134" s="3">
        <v>2</v>
      </c>
    </row>
    <row r="135" spans="1:2" x14ac:dyDescent="0.3">
      <c r="A135" s="2" t="s">
        <v>62</v>
      </c>
      <c r="B135" s="3">
        <v>2</v>
      </c>
    </row>
    <row r="136" spans="1:2" x14ac:dyDescent="0.3">
      <c r="A136" s="2" t="s">
        <v>175</v>
      </c>
      <c r="B136" s="3">
        <v>10</v>
      </c>
    </row>
    <row r="137" spans="1:2" x14ac:dyDescent="0.3">
      <c r="A137" s="2" t="s">
        <v>43</v>
      </c>
      <c r="B137" s="3">
        <v>4</v>
      </c>
    </row>
    <row r="138" spans="1:2" x14ac:dyDescent="0.3">
      <c r="A138" s="2" t="s">
        <v>47</v>
      </c>
      <c r="B138" s="3">
        <v>5</v>
      </c>
    </row>
    <row r="139" spans="1:2" x14ac:dyDescent="0.3">
      <c r="A139" s="2" t="s">
        <v>121</v>
      </c>
      <c r="B139" s="3">
        <v>4</v>
      </c>
    </row>
    <row r="140" spans="1:2" x14ac:dyDescent="0.3">
      <c r="A140" s="2" t="s">
        <v>56</v>
      </c>
      <c r="B140" s="3">
        <v>1</v>
      </c>
    </row>
    <row r="141" spans="1:2" x14ac:dyDescent="0.3">
      <c r="A141" s="2" t="s">
        <v>164</v>
      </c>
      <c r="B141" s="3">
        <v>1</v>
      </c>
    </row>
    <row r="142" spans="1:2" x14ac:dyDescent="0.3">
      <c r="A142" s="2" t="s">
        <v>138</v>
      </c>
      <c r="B142" s="3">
        <v>10</v>
      </c>
    </row>
    <row r="143" spans="1:2" x14ac:dyDescent="0.3">
      <c r="A143" s="2" t="s">
        <v>116</v>
      </c>
      <c r="B143" s="3">
        <v>1</v>
      </c>
    </row>
    <row r="144" spans="1:2" x14ac:dyDescent="0.3">
      <c r="A144" s="2" t="s">
        <v>161</v>
      </c>
      <c r="B144" s="3">
        <v>6</v>
      </c>
    </row>
    <row r="145" spans="1:2" x14ac:dyDescent="0.3">
      <c r="A145" s="2" t="s">
        <v>203</v>
      </c>
      <c r="B145" s="3">
        <v>1</v>
      </c>
    </row>
    <row r="146" spans="1:2" x14ac:dyDescent="0.3">
      <c r="A146" s="2" t="s">
        <v>128</v>
      </c>
      <c r="B146" s="3">
        <v>2</v>
      </c>
    </row>
    <row r="147" spans="1:2" x14ac:dyDescent="0.3">
      <c r="A147" s="2" t="s">
        <v>31</v>
      </c>
      <c r="B147" s="3">
        <v>6</v>
      </c>
    </row>
    <row r="148" spans="1:2" x14ac:dyDescent="0.3">
      <c r="A148" s="2" t="s">
        <v>53</v>
      </c>
      <c r="B148" s="3">
        <v>1</v>
      </c>
    </row>
    <row r="149" spans="1:2" x14ac:dyDescent="0.3">
      <c r="A149" s="2" t="s">
        <v>190</v>
      </c>
      <c r="B149" s="3">
        <v>8</v>
      </c>
    </row>
    <row r="150" spans="1:2" x14ac:dyDescent="0.3">
      <c r="A150" s="2" t="s">
        <v>50</v>
      </c>
      <c r="B150" s="3">
        <v>9</v>
      </c>
    </row>
    <row r="151" spans="1:2" x14ac:dyDescent="0.3">
      <c r="A151" s="2" t="s">
        <v>26</v>
      </c>
      <c r="B151" s="3">
        <v>1</v>
      </c>
    </row>
    <row r="152" spans="1:2" x14ac:dyDescent="0.3">
      <c r="A152" s="2" t="s">
        <v>97</v>
      </c>
      <c r="B152" s="3">
        <v>3</v>
      </c>
    </row>
    <row r="153" spans="1:2" x14ac:dyDescent="0.3">
      <c r="A153" s="2" t="s">
        <v>63</v>
      </c>
      <c r="B153" s="3">
        <v>9</v>
      </c>
    </row>
    <row r="154" spans="1:2" x14ac:dyDescent="0.3">
      <c r="A154" s="2" t="s">
        <v>120</v>
      </c>
      <c r="B154" s="3">
        <v>7</v>
      </c>
    </row>
    <row r="155" spans="1:2" x14ac:dyDescent="0.3">
      <c r="A155" s="2" t="s">
        <v>74</v>
      </c>
      <c r="B155" s="3">
        <v>10</v>
      </c>
    </row>
    <row r="156" spans="1:2" x14ac:dyDescent="0.3">
      <c r="A156" s="2" t="s">
        <v>150</v>
      </c>
      <c r="B156" s="3">
        <v>8</v>
      </c>
    </row>
    <row r="157" spans="1:2" x14ac:dyDescent="0.3">
      <c r="A157" s="2" t="s">
        <v>176</v>
      </c>
      <c r="B157" s="3">
        <v>10</v>
      </c>
    </row>
    <row r="158" spans="1:2" x14ac:dyDescent="0.3">
      <c r="A158" s="2" t="s">
        <v>186</v>
      </c>
      <c r="B158" s="3">
        <v>1</v>
      </c>
    </row>
    <row r="159" spans="1:2" x14ac:dyDescent="0.3">
      <c r="A159" s="2" t="s">
        <v>188</v>
      </c>
      <c r="B159" s="3">
        <v>5</v>
      </c>
    </row>
    <row r="160" spans="1:2" x14ac:dyDescent="0.3">
      <c r="A160" s="2" t="s">
        <v>140</v>
      </c>
      <c r="B160" s="3">
        <v>7</v>
      </c>
    </row>
    <row r="161" spans="1:2" x14ac:dyDescent="0.3">
      <c r="A161" s="2" t="s">
        <v>83</v>
      </c>
      <c r="B161" s="3">
        <v>10</v>
      </c>
    </row>
    <row r="162" spans="1:2" x14ac:dyDescent="0.3">
      <c r="A162" s="2" t="s">
        <v>166</v>
      </c>
      <c r="B162" s="3">
        <v>5</v>
      </c>
    </row>
    <row r="163" spans="1:2" x14ac:dyDescent="0.3">
      <c r="A163" s="2" t="s">
        <v>51</v>
      </c>
      <c r="B163" s="3">
        <v>5</v>
      </c>
    </row>
    <row r="164" spans="1:2" x14ac:dyDescent="0.3">
      <c r="A164" s="2" t="s">
        <v>118</v>
      </c>
      <c r="B164" s="3">
        <v>5</v>
      </c>
    </row>
    <row r="165" spans="1:2" x14ac:dyDescent="0.3">
      <c r="A165" s="2" t="s">
        <v>68</v>
      </c>
      <c r="B165" s="3">
        <v>8</v>
      </c>
    </row>
    <row r="166" spans="1:2" x14ac:dyDescent="0.3">
      <c r="A166" s="2" t="s">
        <v>197</v>
      </c>
      <c r="B166" s="3">
        <v>3</v>
      </c>
    </row>
    <row r="167" spans="1:2" x14ac:dyDescent="0.3">
      <c r="A167" s="2" t="s">
        <v>48</v>
      </c>
      <c r="B167" s="3">
        <v>6</v>
      </c>
    </row>
    <row r="168" spans="1:2" x14ac:dyDescent="0.3">
      <c r="A168" s="2" t="s">
        <v>174</v>
      </c>
      <c r="B168" s="3">
        <v>7</v>
      </c>
    </row>
    <row r="169" spans="1:2" x14ac:dyDescent="0.3">
      <c r="A169" s="2" t="s">
        <v>27</v>
      </c>
      <c r="B169" s="3">
        <v>1</v>
      </c>
    </row>
    <row r="170" spans="1:2" x14ac:dyDescent="0.3">
      <c r="A170" s="2" t="s">
        <v>72</v>
      </c>
      <c r="B170" s="3">
        <v>7</v>
      </c>
    </row>
    <row r="171" spans="1:2" x14ac:dyDescent="0.3">
      <c r="A171" s="2" t="s">
        <v>36</v>
      </c>
      <c r="B171" s="3">
        <v>8</v>
      </c>
    </row>
    <row r="172" spans="1:2" x14ac:dyDescent="0.3">
      <c r="A172" s="2" t="s">
        <v>130</v>
      </c>
      <c r="B172" s="3">
        <v>3</v>
      </c>
    </row>
    <row r="173" spans="1:2" x14ac:dyDescent="0.3">
      <c r="A173" s="2" t="s">
        <v>88</v>
      </c>
      <c r="B173" s="3">
        <v>9</v>
      </c>
    </row>
    <row r="174" spans="1:2" x14ac:dyDescent="0.3">
      <c r="A174" s="2" t="s">
        <v>127</v>
      </c>
      <c r="B174" s="3">
        <v>4</v>
      </c>
    </row>
    <row r="175" spans="1:2" x14ac:dyDescent="0.3">
      <c r="A175" s="2" t="s">
        <v>91</v>
      </c>
      <c r="B175" s="3">
        <v>7</v>
      </c>
    </row>
    <row r="176" spans="1:2" x14ac:dyDescent="0.3">
      <c r="A176" s="2" t="s">
        <v>177</v>
      </c>
      <c r="B176" s="3">
        <v>6</v>
      </c>
    </row>
    <row r="177" spans="1:2" x14ac:dyDescent="0.3">
      <c r="A177" s="2" t="s">
        <v>193</v>
      </c>
      <c r="B177" s="3">
        <v>1</v>
      </c>
    </row>
    <row r="178" spans="1:2" x14ac:dyDescent="0.3">
      <c r="A178" s="2" t="s">
        <v>168</v>
      </c>
      <c r="B178" s="3">
        <v>10</v>
      </c>
    </row>
    <row r="179" spans="1:2" x14ac:dyDescent="0.3">
      <c r="A179" s="2" t="s">
        <v>82</v>
      </c>
      <c r="B179" s="3">
        <v>7</v>
      </c>
    </row>
    <row r="180" spans="1:2" x14ac:dyDescent="0.3">
      <c r="A180" s="2" t="s">
        <v>173</v>
      </c>
      <c r="B180" s="3">
        <v>5</v>
      </c>
    </row>
    <row r="181" spans="1:2" x14ac:dyDescent="0.3">
      <c r="A181" s="2" t="s">
        <v>179</v>
      </c>
      <c r="B181" s="3">
        <v>4</v>
      </c>
    </row>
    <row r="182" spans="1:2" x14ac:dyDescent="0.3">
      <c r="A182" s="2" t="s">
        <v>206</v>
      </c>
      <c r="B182" s="3">
        <v>10</v>
      </c>
    </row>
    <row r="183" spans="1:2" x14ac:dyDescent="0.3">
      <c r="A183" s="2" t="s">
        <v>17</v>
      </c>
      <c r="B183" s="3">
        <v>1</v>
      </c>
    </row>
    <row r="184" spans="1:2" x14ac:dyDescent="0.3">
      <c r="A184" s="2" t="s">
        <v>77</v>
      </c>
      <c r="B184" s="3">
        <v>1</v>
      </c>
    </row>
    <row r="185" spans="1:2" x14ac:dyDescent="0.3">
      <c r="A185" s="2" t="s">
        <v>22</v>
      </c>
      <c r="B185" s="3">
        <v>8</v>
      </c>
    </row>
    <row r="186" spans="1:2" x14ac:dyDescent="0.3">
      <c r="A186" s="2" t="s">
        <v>100</v>
      </c>
      <c r="B186" s="3">
        <v>2</v>
      </c>
    </row>
    <row r="187" spans="1:2" x14ac:dyDescent="0.3">
      <c r="A187" s="2" t="s">
        <v>79</v>
      </c>
      <c r="B187" s="3">
        <v>1</v>
      </c>
    </row>
    <row r="188" spans="1:2" x14ac:dyDescent="0.3">
      <c r="A188" s="2" t="s">
        <v>44</v>
      </c>
      <c r="B188" s="3">
        <v>3</v>
      </c>
    </row>
    <row r="189" spans="1:2" x14ac:dyDescent="0.3">
      <c r="A189" s="2" t="s">
        <v>70</v>
      </c>
      <c r="B189" s="3">
        <v>2</v>
      </c>
    </row>
    <row r="190" spans="1:2" x14ac:dyDescent="0.3">
      <c r="A190" s="2" t="s">
        <v>163</v>
      </c>
      <c r="B190" s="3">
        <v>5</v>
      </c>
    </row>
    <row r="191" spans="1:2" x14ac:dyDescent="0.3">
      <c r="A191" s="2" t="s">
        <v>93</v>
      </c>
      <c r="B191" s="3">
        <v>4</v>
      </c>
    </row>
    <row r="192" spans="1:2" x14ac:dyDescent="0.3">
      <c r="A192" s="2" t="s">
        <v>181</v>
      </c>
      <c r="B192" s="3">
        <v>4</v>
      </c>
    </row>
    <row r="193" spans="1:2" x14ac:dyDescent="0.3">
      <c r="A193" s="2" t="s">
        <v>76</v>
      </c>
      <c r="B193" s="3">
        <v>10</v>
      </c>
    </row>
    <row r="194" spans="1:2" x14ac:dyDescent="0.3">
      <c r="A194" s="2" t="s">
        <v>42</v>
      </c>
      <c r="B194" s="3">
        <v>3</v>
      </c>
    </row>
    <row r="195" spans="1:2" x14ac:dyDescent="0.3">
      <c r="A195" s="2" t="s">
        <v>32</v>
      </c>
      <c r="B195" s="3">
        <v>6</v>
      </c>
    </row>
    <row r="196" spans="1:2" x14ac:dyDescent="0.3">
      <c r="A196" s="2" t="s">
        <v>165</v>
      </c>
      <c r="B196" s="3">
        <v>4</v>
      </c>
    </row>
    <row r="197" spans="1:2" x14ac:dyDescent="0.3">
      <c r="A197" s="2" t="s">
        <v>152</v>
      </c>
      <c r="B197" s="3">
        <v>1</v>
      </c>
    </row>
    <row r="198" spans="1:2" x14ac:dyDescent="0.3">
      <c r="A198" s="2" t="s">
        <v>167</v>
      </c>
      <c r="B198" s="3">
        <v>10</v>
      </c>
    </row>
    <row r="199" spans="1:2" x14ac:dyDescent="0.3">
      <c r="A199" s="2" t="s">
        <v>112</v>
      </c>
      <c r="B199" s="3">
        <v>10</v>
      </c>
    </row>
    <row r="200" spans="1:2" x14ac:dyDescent="0.3">
      <c r="A200" s="2" t="s">
        <v>151</v>
      </c>
      <c r="B200" s="3">
        <v>5</v>
      </c>
    </row>
    <row r="201" spans="1:2" x14ac:dyDescent="0.3">
      <c r="A201" s="2" t="s">
        <v>84</v>
      </c>
      <c r="B201" s="3">
        <v>7</v>
      </c>
    </row>
    <row r="202" spans="1:2" x14ac:dyDescent="0.3">
      <c r="A202" s="2" t="s">
        <v>154</v>
      </c>
      <c r="B202" s="3">
        <v>5</v>
      </c>
    </row>
    <row r="203" spans="1:2" x14ac:dyDescent="0.3">
      <c r="A203" s="2" t="s">
        <v>87</v>
      </c>
      <c r="B203" s="3">
        <v>2</v>
      </c>
    </row>
    <row r="204" spans="1:2" x14ac:dyDescent="0.3">
      <c r="A204" s="2" t="s">
        <v>248</v>
      </c>
      <c r="B204" s="3">
        <v>1049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E318A-827C-4D74-822F-EF166A3969E7}">
  <dimension ref="A1:O201"/>
  <sheetViews>
    <sheetView workbookViewId="0">
      <selection activeCell="A5" sqref="A5"/>
    </sheetView>
  </sheetViews>
  <sheetFormatPr defaultRowHeight="14.4" x14ac:dyDescent="0.3"/>
  <cols>
    <col min="1" max="1" width="10.6640625" customWidth="1"/>
    <col min="4" max="4" width="9" customWidth="1"/>
    <col min="5" max="5" width="12.5546875" customWidth="1"/>
    <col min="6" max="6" width="15.44140625" customWidth="1"/>
    <col min="7" max="7" width="14.88671875" customWidth="1"/>
    <col min="8" max="8" width="12.44140625" customWidth="1"/>
    <col min="9" max="9" width="15.33203125" customWidth="1"/>
    <col min="10" max="10" width="15.77734375" customWidth="1"/>
    <col min="11" max="11" width="15.6640625" customWidth="1"/>
    <col min="12" max="13" width="14.77734375" customWidth="1"/>
    <col min="14" max="14" width="19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211</v>
      </c>
      <c r="K1" t="s">
        <v>222</v>
      </c>
      <c r="L1" t="s">
        <v>242</v>
      </c>
      <c r="M1" t="s">
        <v>245</v>
      </c>
      <c r="N1" t="s">
        <v>244</v>
      </c>
      <c r="O1" t="s">
        <v>246</v>
      </c>
    </row>
    <row r="2" spans="1:15" x14ac:dyDescent="0.3">
      <c r="A2">
        <v>1</v>
      </c>
      <c r="B2" t="s">
        <v>9</v>
      </c>
      <c r="C2">
        <v>68</v>
      </c>
      <c r="D2" t="s">
        <v>10</v>
      </c>
      <c r="E2">
        <v>2</v>
      </c>
      <c r="F2">
        <v>45738</v>
      </c>
      <c r="G2">
        <v>45751</v>
      </c>
      <c r="H2">
        <v>1</v>
      </c>
      <c r="I2">
        <v>4443</v>
      </c>
      <c r="J2" t="str">
        <f>VLOOKUP(Patients!E2,Diagnosis!$A$2:$B$11,2,0)</f>
        <v>Diabetes</v>
      </c>
      <c r="K2" t="str">
        <f>VLOOKUP(Patients!H2,Outcomes!$A$2:$B$4,2,0)</f>
        <v>Recovered</v>
      </c>
      <c r="L2">
        <f>DATEDIF(F2,G2,"d")</f>
        <v>13</v>
      </c>
      <c r="M2" t="str">
        <f>VLOOKUP(A2,Labs!A2:C201,3,0)</f>
        <v>Blood Pressure</v>
      </c>
      <c r="N2" t="str">
        <f>IF(VLOOKUP(Patients!A2,Labs!A2:D201,4,0) &gt;120,"High","normal")</f>
        <v>normal</v>
      </c>
      <c r="O2" t="str">
        <f>IF(OR(C2&gt;65,H2&gt;1),"High Risk","Low Risk")</f>
        <v>High Risk</v>
      </c>
    </row>
    <row r="3" spans="1:15" x14ac:dyDescent="0.3">
      <c r="A3">
        <v>2</v>
      </c>
      <c r="B3" t="s">
        <v>11</v>
      </c>
      <c r="C3">
        <v>81</v>
      </c>
      <c r="D3" t="s">
        <v>10</v>
      </c>
      <c r="E3">
        <v>2</v>
      </c>
      <c r="F3">
        <v>45747</v>
      </c>
      <c r="G3">
        <v>45749</v>
      </c>
      <c r="H3">
        <v>2</v>
      </c>
      <c r="I3">
        <v>4265</v>
      </c>
      <c r="J3" t="str">
        <f>VLOOKUP(Patients!E3,Diagnosis!$A$2:$B$11,2,0)</f>
        <v>Diabetes</v>
      </c>
      <c r="K3" t="str">
        <f>VLOOKUP(Patients!H3,Outcomes!$A$2:$B$4,2,0)</f>
        <v>Complicated</v>
      </c>
      <c r="L3">
        <f t="shared" ref="L3:L66" si="0">DATEDIF(F3,G3,"d")</f>
        <v>2</v>
      </c>
      <c r="M3" t="str">
        <f>VLOOKUP(A3,Labs!A3:C202,3,0)</f>
        <v>Cholesterol</v>
      </c>
      <c r="N3" t="str">
        <f>IF(VLOOKUP(Patients!A3,Labs!A3:D202,4,0) &gt;120,"High","normal")</f>
        <v>High</v>
      </c>
      <c r="O3" t="str">
        <f t="shared" ref="O3:O66" si="1">IF(OR(C3&gt;65,H3&gt;1),"High Risk","Low Risk")</f>
        <v>High Risk</v>
      </c>
    </row>
    <row r="4" spans="1:15" x14ac:dyDescent="0.3">
      <c r="A4">
        <v>3</v>
      </c>
      <c r="B4" t="s">
        <v>12</v>
      </c>
      <c r="C4">
        <v>58</v>
      </c>
      <c r="D4" t="s">
        <v>10</v>
      </c>
      <c r="E4">
        <v>6</v>
      </c>
      <c r="F4">
        <v>45665</v>
      </c>
      <c r="G4">
        <v>45729</v>
      </c>
      <c r="H4">
        <v>1</v>
      </c>
      <c r="I4">
        <v>4188</v>
      </c>
      <c r="J4" t="str">
        <f>VLOOKUP(Patients!E4,Diagnosis!$A$2:$B$11,2,0)</f>
        <v>COPD</v>
      </c>
      <c r="K4" t="str">
        <f>VLOOKUP(Patients!H4,Outcomes!$A$2:$B$4,2,0)</f>
        <v>Recovered</v>
      </c>
      <c r="L4">
        <f t="shared" si="0"/>
        <v>64</v>
      </c>
      <c r="M4" t="str">
        <f>VLOOKUP(A4,Labs!A4:C203,3,0)</f>
        <v>Blood Pressure</v>
      </c>
      <c r="N4" t="str">
        <f>IF(VLOOKUP(Patients!A4,Labs!A4:D203,4,0) &gt;120,"High","normal")</f>
        <v>High</v>
      </c>
      <c r="O4" t="str">
        <f t="shared" si="1"/>
        <v>Low Risk</v>
      </c>
    </row>
    <row r="5" spans="1:15" x14ac:dyDescent="0.3">
      <c r="A5">
        <v>4</v>
      </c>
      <c r="B5" t="s">
        <v>13</v>
      </c>
      <c r="C5">
        <v>44</v>
      </c>
      <c r="D5" t="s">
        <v>14</v>
      </c>
      <c r="E5">
        <v>3</v>
      </c>
      <c r="F5">
        <v>45750</v>
      </c>
      <c r="G5">
        <v>45752</v>
      </c>
      <c r="H5">
        <v>1</v>
      </c>
      <c r="I5">
        <v>9783</v>
      </c>
      <c r="J5" t="str">
        <f>VLOOKUP(Patients!E5,Diagnosis!$A$2:$B$11,2,0)</f>
        <v>Heart Disease</v>
      </c>
      <c r="K5" t="str">
        <f>VLOOKUP(Patients!H5,Outcomes!$A$2:$B$4,2,0)</f>
        <v>Recovered</v>
      </c>
      <c r="L5">
        <f t="shared" si="0"/>
        <v>2</v>
      </c>
      <c r="M5" t="str">
        <f>VLOOKUP(A5,Labs!A5:C204,3,0)</f>
        <v>Cholesterol</v>
      </c>
      <c r="N5" t="str">
        <f>IF(VLOOKUP(Patients!A5,Labs!A5:D204,4,0) &gt;120,"High","normal")</f>
        <v>normal</v>
      </c>
      <c r="O5" t="str">
        <f t="shared" si="1"/>
        <v>Low Risk</v>
      </c>
    </row>
    <row r="6" spans="1:15" x14ac:dyDescent="0.3">
      <c r="A6">
        <v>5</v>
      </c>
      <c r="B6" t="s">
        <v>15</v>
      </c>
      <c r="C6">
        <v>72</v>
      </c>
      <c r="D6" t="s">
        <v>14</v>
      </c>
      <c r="E6">
        <v>9</v>
      </c>
      <c r="F6">
        <v>45811</v>
      </c>
      <c r="G6">
        <v>45812</v>
      </c>
      <c r="H6">
        <v>1</v>
      </c>
      <c r="I6">
        <v>5005</v>
      </c>
      <c r="J6" t="str">
        <f>VLOOKUP(Patients!E6,Diagnosis!$A$2:$B$11,2,0)</f>
        <v>Kidney Disease</v>
      </c>
      <c r="K6" t="str">
        <f>VLOOKUP(Patients!H6,Outcomes!$A$2:$B$4,2,0)</f>
        <v>Recovered</v>
      </c>
      <c r="L6">
        <f t="shared" si="0"/>
        <v>1</v>
      </c>
      <c r="M6" t="str">
        <f>VLOOKUP(A6,Labs!A6:C205,3,0)</f>
        <v>Blood Sugar</v>
      </c>
      <c r="N6" t="str">
        <f>IF(VLOOKUP(Patients!A6,Labs!A6:D205,4,0) &gt;120,"High","normal")</f>
        <v>High</v>
      </c>
      <c r="O6" t="str">
        <f t="shared" si="1"/>
        <v>High Risk</v>
      </c>
    </row>
    <row r="7" spans="1:15" x14ac:dyDescent="0.3">
      <c r="A7">
        <v>6</v>
      </c>
      <c r="B7" t="s">
        <v>16</v>
      </c>
      <c r="C7">
        <v>37</v>
      </c>
      <c r="D7" t="s">
        <v>14</v>
      </c>
      <c r="E7">
        <v>4</v>
      </c>
      <c r="F7">
        <v>45747</v>
      </c>
      <c r="G7">
        <v>45752</v>
      </c>
      <c r="H7">
        <v>1</v>
      </c>
      <c r="I7">
        <v>5281</v>
      </c>
      <c r="J7" t="str">
        <f>VLOOKUP(Patients!E7,Diagnosis!$A$2:$B$11,2,0)</f>
        <v>Asthma</v>
      </c>
      <c r="K7" t="str">
        <f>VLOOKUP(Patients!H7,Outcomes!$A$2:$B$4,2,0)</f>
        <v>Recovered</v>
      </c>
      <c r="L7">
        <f t="shared" si="0"/>
        <v>5</v>
      </c>
      <c r="M7" t="str">
        <f>VLOOKUP(A7,Labs!A7:C206,3,0)</f>
        <v>Creatinine</v>
      </c>
      <c r="N7" t="str">
        <f>IF(VLOOKUP(Patients!A7,Labs!A7:D206,4,0) &gt;120,"High","normal")</f>
        <v>normal</v>
      </c>
      <c r="O7" t="str">
        <f t="shared" si="1"/>
        <v>Low Risk</v>
      </c>
    </row>
    <row r="8" spans="1:15" x14ac:dyDescent="0.3">
      <c r="A8">
        <v>7</v>
      </c>
      <c r="B8" t="s">
        <v>17</v>
      </c>
      <c r="C8">
        <v>50</v>
      </c>
      <c r="D8" t="s">
        <v>14</v>
      </c>
      <c r="E8">
        <v>1</v>
      </c>
      <c r="F8">
        <v>45819</v>
      </c>
      <c r="G8">
        <v>45843</v>
      </c>
      <c r="H8">
        <v>2</v>
      </c>
      <c r="I8">
        <v>2984</v>
      </c>
      <c r="J8" t="str">
        <f>VLOOKUP(Patients!E8,Diagnosis!$A$2:$B$11,2,0)</f>
        <v>Hypertension</v>
      </c>
      <c r="K8" t="str">
        <f>VLOOKUP(Patients!H8,Outcomes!$A$2:$B$4,2,0)</f>
        <v>Complicated</v>
      </c>
      <c r="L8">
        <f t="shared" si="0"/>
        <v>24</v>
      </c>
      <c r="M8" t="str">
        <f>VLOOKUP(A8,Labs!A8:C207,3,0)</f>
        <v>Blood Pressure</v>
      </c>
      <c r="N8" t="str">
        <f>IF(VLOOKUP(Patients!A8,Labs!A8:D207,4,0) &gt;120,"High","normal")</f>
        <v>High</v>
      </c>
      <c r="O8" t="str">
        <f t="shared" si="1"/>
        <v>High Risk</v>
      </c>
    </row>
    <row r="9" spans="1:15" x14ac:dyDescent="0.3">
      <c r="A9">
        <v>8</v>
      </c>
      <c r="B9" t="s">
        <v>18</v>
      </c>
      <c r="C9">
        <v>68</v>
      </c>
      <c r="D9" t="s">
        <v>10</v>
      </c>
      <c r="E9">
        <v>4</v>
      </c>
      <c r="F9">
        <v>45772</v>
      </c>
      <c r="G9">
        <v>45827</v>
      </c>
      <c r="H9">
        <v>1</v>
      </c>
      <c r="I9">
        <v>9136</v>
      </c>
      <c r="J9" t="str">
        <f>VLOOKUP(Patients!E9,Diagnosis!$A$2:$B$11,2,0)</f>
        <v>Asthma</v>
      </c>
      <c r="K9" t="str">
        <f>VLOOKUP(Patients!H9,Outcomes!$A$2:$B$4,2,0)</f>
        <v>Recovered</v>
      </c>
      <c r="L9">
        <f t="shared" si="0"/>
        <v>55</v>
      </c>
      <c r="M9" t="str">
        <f>VLOOKUP(A9,Labs!A9:C208,3,0)</f>
        <v>Hemoglobin</v>
      </c>
      <c r="N9" t="str">
        <f>IF(VLOOKUP(Patients!A9,Labs!A9:D208,4,0) &gt;120,"High","normal")</f>
        <v>High</v>
      </c>
      <c r="O9" t="str">
        <f t="shared" si="1"/>
        <v>High Risk</v>
      </c>
    </row>
    <row r="10" spans="1:15" x14ac:dyDescent="0.3">
      <c r="A10">
        <v>9</v>
      </c>
      <c r="B10" t="s">
        <v>19</v>
      </c>
      <c r="C10">
        <v>87</v>
      </c>
      <c r="D10" t="s">
        <v>14</v>
      </c>
      <c r="E10">
        <v>1</v>
      </c>
      <c r="F10">
        <v>45762</v>
      </c>
      <c r="G10">
        <v>45764</v>
      </c>
      <c r="H10">
        <v>2</v>
      </c>
      <c r="I10">
        <v>9790</v>
      </c>
      <c r="J10" t="str">
        <f>VLOOKUP(Patients!E10,Diagnosis!$A$2:$B$11,2,0)</f>
        <v>Hypertension</v>
      </c>
      <c r="K10" t="str">
        <f>VLOOKUP(Patients!H10,Outcomes!$A$2:$B$4,2,0)</f>
        <v>Complicated</v>
      </c>
      <c r="L10">
        <f t="shared" si="0"/>
        <v>2</v>
      </c>
      <c r="M10" t="str">
        <f>VLOOKUP(A10,Labs!A10:C209,3,0)</f>
        <v>Hemoglobin</v>
      </c>
      <c r="N10" t="str">
        <f>IF(VLOOKUP(Patients!A10,Labs!A10:D209,4,0) &gt;120,"High","normal")</f>
        <v>normal</v>
      </c>
      <c r="O10" t="str">
        <f t="shared" si="1"/>
        <v>High Risk</v>
      </c>
    </row>
    <row r="11" spans="1:15" x14ac:dyDescent="0.3">
      <c r="A11">
        <v>10</v>
      </c>
      <c r="B11" t="s">
        <v>20</v>
      </c>
      <c r="C11">
        <v>48</v>
      </c>
      <c r="D11" t="s">
        <v>10</v>
      </c>
      <c r="E11">
        <v>5</v>
      </c>
      <c r="F11">
        <v>45792</v>
      </c>
      <c r="G11">
        <v>45796</v>
      </c>
      <c r="H11">
        <v>2</v>
      </c>
      <c r="I11">
        <v>3639</v>
      </c>
      <c r="J11" t="str">
        <f>VLOOKUP(Patients!E11,Diagnosis!$A$2:$B$11,2,0)</f>
        <v>Stroke</v>
      </c>
      <c r="K11" t="str">
        <f>VLOOKUP(Patients!H11,Outcomes!$A$2:$B$4,2,0)</f>
        <v>Complicated</v>
      </c>
      <c r="L11">
        <f t="shared" si="0"/>
        <v>4</v>
      </c>
      <c r="M11" t="str">
        <f>VLOOKUP(A11,Labs!A11:C210,3,0)</f>
        <v>Vitamin D</v>
      </c>
      <c r="N11" t="str">
        <f>IF(VLOOKUP(Patients!A11,Labs!A11:D210,4,0) &gt;120,"High","normal")</f>
        <v>High</v>
      </c>
      <c r="O11" t="str">
        <f t="shared" si="1"/>
        <v>High Risk</v>
      </c>
    </row>
    <row r="12" spans="1:15" x14ac:dyDescent="0.3">
      <c r="A12">
        <v>11</v>
      </c>
      <c r="B12" t="s">
        <v>21</v>
      </c>
      <c r="C12">
        <v>52</v>
      </c>
      <c r="D12" t="s">
        <v>10</v>
      </c>
      <c r="E12">
        <v>4</v>
      </c>
      <c r="F12">
        <v>45715</v>
      </c>
      <c r="G12">
        <v>45765</v>
      </c>
      <c r="H12">
        <v>3</v>
      </c>
      <c r="I12">
        <v>2827</v>
      </c>
      <c r="J12" t="str">
        <f>VLOOKUP(Patients!E12,Diagnosis!$A$2:$B$11,2,0)</f>
        <v>Asthma</v>
      </c>
      <c r="K12" t="str">
        <f>VLOOKUP(Patients!H12,Outcomes!$A$2:$B$4,2,0)</f>
        <v>Deceased</v>
      </c>
      <c r="L12">
        <f t="shared" si="0"/>
        <v>50</v>
      </c>
      <c r="M12" t="str">
        <f>VLOOKUP(A12,Labs!A12:C211,3,0)</f>
        <v>Cholesterol</v>
      </c>
      <c r="N12" t="str">
        <f>IF(VLOOKUP(Patients!A12,Labs!A12:D211,4,0) &gt;120,"High","normal")</f>
        <v>High</v>
      </c>
      <c r="O12" t="str">
        <f t="shared" si="1"/>
        <v>High Risk</v>
      </c>
    </row>
    <row r="13" spans="1:15" x14ac:dyDescent="0.3">
      <c r="A13">
        <v>12</v>
      </c>
      <c r="B13" t="s">
        <v>22</v>
      </c>
      <c r="C13">
        <v>40</v>
      </c>
      <c r="D13" t="s">
        <v>14</v>
      </c>
      <c r="E13">
        <v>8</v>
      </c>
      <c r="F13">
        <v>45771</v>
      </c>
      <c r="G13">
        <v>45795</v>
      </c>
      <c r="H13">
        <v>2</v>
      </c>
      <c r="I13">
        <v>4730</v>
      </c>
      <c r="J13" t="str">
        <f>VLOOKUP(Patients!E13,Diagnosis!$A$2:$B$11,2,0)</f>
        <v>Arthritis</v>
      </c>
      <c r="K13" t="str">
        <f>VLOOKUP(Patients!H13,Outcomes!$A$2:$B$4,2,0)</f>
        <v>Complicated</v>
      </c>
      <c r="L13">
        <f t="shared" si="0"/>
        <v>24</v>
      </c>
      <c r="M13" t="str">
        <f>VLOOKUP(A13,Labs!A13:C212,3,0)</f>
        <v>Blood Pressure</v>
      </c>
      <c r="N13" t="str">
        <f>IF(VLOOKUP(Patients!A13,Labs!A13:D212,4,0) &gt;120,"High","normal")</f>
        <v>High</v>
      </c>
      <c r="O13" t="str">
        <f t="shared" si="1"/>
        <v>High Risk</v>
      </c>
    </row>
    <row r="14" spans="1:15" x14ac:dyDescent="0.3">
      <c r="A14">
        <v>13</v>
      </c>
      <c r="B14" t="s">
        <v>23</v>
      </c>
      <c r="C14">
        <v>40</v>
      </c>
      <c r="D14" t="s">
        <v>14</v>
      </c>
      <c r="E14">
        <v>8</v>
      </c>
      <c r="F14">
        <v>45732</v>
      </c>
      <c r="G14">
        <v>45815</v>
      </c>
      <c r="H14">
        <v>3</v>
      </c>
      <c r="I14">
        <v>5531</v>
      </c>
      <c r="J14" t="str">
        <f>VLOOKUP(Patients!E14,Diagnosis!$A$2:$B$11,2,0)</f>
        <v>Arthritis</v>
      </c>
      <c r="K14" t="str">
        <f>VLOOKUP(Patients!H14,Outcomes!$A$2:$B$4,2,0)</f>
        <v>Deceased</v>
      </c>
      <c r="L14">
        <f t="shared" si="0"/>
        <v>83</v>
      </c>
      <c r="M14" t="str">
        <f>VLOOKUP(A14,Labs!A14:C213,3,0)</f>
        <v>Vitamin D</v>
      </c>
      <c r="N14" t="str">
        <f>IF(VLOOKUP(Patients!A14,Labs!A14:D213,4,0) &gt;120,"High","normal")</f>
        <v>normal</v>
      </c>
      <c r="O14" t="str">
        <f t="shared" si="1"/>
        <v>High Risk</v>
      </c>
    </row>
    <row r="15" spans="1:15" x14ac:dyDescent="0.3">
      <c r="A15">
        <v>14</v>
      </c>
      <c r="B15" t="s">
        <v>24</v>
      </c>
      <c r="C15">
        <v>53</v>
      </c>
      <c r="D15" t="s">
        <v>14</v>
      </c>
      <c r="E15">
        <v>7</v>
      </c>
      <c r="F15">
        <v>45814</v>
      </c>
      <c r="G15">
        <v>45818</v>
      </c>
      <c r="H15">
        <v>2</v>
      </c>
      <c r="I15">
        <v>9147</v>
      </c>
      <c r="J15" t="str">
        <f>VLOOKUP(Patients!E15,Diagnosis!$A$2:$B$11,2,0)</f>
        <v>Cancer</v>
      </c>
      <c r="K15" t="str">
        <f>VLOOKUP(Patients!H15,Outcomes!$A$2:$B$4,2,0)</f>
        <v>Complicated</v>
      </c>
      <c r="L15">
        <f t="shared" si="0"/>
        <v>4</v>
      </c>
      <c r="M15" t="str">
        <f>VLOOKUP(A15,Labs!A15:C214,3,0)</f>
        <v>Blood Pressure</v>
      </c>
      <c r="N15" t="str">
        <f>IF(VLOOKUP(Patients!A15,Labs!A15:D214,4,0) &gt;120,"High","normal")</f>
        <v>High</v>
      </c>
      <c r="O15" t="str">
        <f t="shared" si="1"/>
        <v>High Risk</v>
      </c>
    </row>
    <row r="16" spans="1:15" x14ac:dyDescent="0.3">
      <c r="A16">
        <v>15</v>
      </c>
      <c r="B16" t="s">
        <v>25</v>
      </c>
      <c r="C16">
        <v>82</v>
      </c>
      <c r="D16" t="s">
        <v>14</v>
      </c>
      <c r="E16">
        <v>3</v>
      </c>
      <c r="F16">
        <v>45777</v>
      </c>
      <c r="G16">
        <v>45780</v>
      </c>
      <c r="H16">
        <v>2</v>
      </c>
      <c r="I16">
        <v>6451</v>
      </c>
      <c r="J16" t="str">
        <f>VLOOKUP(Patients!E16,Diagnosis!$A$2:$B$11,2,0)</f>
        <v>Heart Disease</v>
      </c>
      <c r="K16" t="str">
        <f>VLOOKUP(Patients!H16,Outcomes!$A$2:$B$4,2,0)</f>
        <v>Complicated</v>
      </c>
      <c r="L16">
        <f t="shared" si="0"/>
        <v>3</v>
      </c>
      <c r="M16" t="str">
        <f>VLOOKUP(A16,Labs!A16:C215,3,0)</f>
        <v>Cholesterol</v>
      </c>
      <c r="N16" t="str">
        <f>IF(VLOOKUP(Patients!A16,Labs!A16:D215,4,0) &gt;120,"High","normal")</f>
        <v>High</v>
      </c>
      <c r="O16" t="str">
        <f t="shared" si="1"/>
        <v>High Risk</v>
      </c>
    </row>
    <row r="17" spans="1:15" x14ac:dyDescent="0.3">
      <c r="A17">
        <v>16</v>
      </c>
      <c r="B17" t="s">
        <v>26</v>
      </c>
      <c r="C17">
        <v>65</v>
      </c>
      <c r="D17" t="s">
        <v>14</v>
      </c>
      <c r="E17">
        <v>1</v>
      </c>
      <c r="F17">
        <v>45821</v>
      </c>
      <c r="G17">
        <v>45823</v>
      </c>
      <c r="H17">
        <v>2</v>
      </c>
      <c r="I17">
        <v>9151</v>
      </c>
      <c r="J17" t="str">
        <f>VLOOKUP(Patients!E17,Diagnosis!$A$2:$B$11,2,0)</f>
        <v>Hypertension</v>
      </c>
      <c r="K17" t="str">
        <f>VLOOKUP(Patients!H17,Outcomes!$A$2:$B$4,2,0)</f>
        <v>Complicated</v>
      </c>
      <c r="L17">
        <f t="shared" si="0"/>
        <v>2</v>
      </c>
      <c r="M17" t="str">
        <f>VLOOKUP(A17,Labs!A17:C216,3,0)</f>
        <v>Hemoglobin</v>
      </c>
      <c r="N17" t="str">
        <f>IF(VLOOKUP(Patients!A17,Labs!A17:D216,4,0) &gt;120,"High","normal")</f>
        <v>High</v>
      </c>
      <c r="O17" t="str">
        <f t="shared" si="1"/>
        <v>High Risk</v>
      </c>
    </row>
    <row r="18" spans="1:15" x14ac:dyDescent="0.3">
      <c r="A18">
        <v>17</v>
      </c>
      <c r="B18" t="s">
        <v>27</v>
      </c>
      <c r="C18">
        <v>69</v>
      </c>
      <c r="D18" t="s">
        <v>14</v>
      </c>
      <c r="E18">
        <v>1</v>
      </c>
      <c r="F18">
        <v>45678</v>
      </c>
      <c r="G18">
        <v>45799</v>
      </c>
      <c r="H18">
        <v>3</v>
      </c>
      <c r="I18">
        <v>7443</v>
      </c>
      <c r="J18" t="str">
        <f>VLOOKUP(Patients!E18,Diagnosis!$A$2:$B$11,2,0)</f>
        <v>Hypertension</v>
      </c>
      <c r="K18" t="str">
        <f>VLOOKUP(Patients!H18,Outcomes!$A$2:$B$4,2,0)</f>
        <v>Deceased</v>
      </c>
      <c r="L18">
        <f t="shared" si="0"/>
        <v>121</v>
      </c>
      <c r="M18" t="str">
        <f>VLOOKUP(A18,Labs!A18:C217,3,0)</f>
        <v>Blood Sugar</v>
      </c>
      <c r="N18" t="str">
        <f>IF(VLOOKUP(Patients!A18,Labs!A18:D217,4,0) &gt;120,"High","normal")</f>
        <v>High</v>
      </c>
      <c r="O18" t="str">
        <f t="shared" si="1"/>
        <v>High Risk</v>
      </c>
    </row>
    <row r="19" spans="1:15" x14ac:dyDescent="0.3">
      <c r="A19">
        <v>18</v>
      </c>
      <c r="B19" t="s">
        <v>28</v>
      </c>
      <c r="C19">
        <v>53</v>
      </c>
      <c r="D19" t="s">
        <v>14</v>
      </c>
      <c r="E19">
        <v>3</v>
      </c>
      <c r="F19">
        <v>45821</v>
      </c>
      <c r="G19">
        <v>45830</v>
      </c>
      <c r="H19">
        <v>3</v>
      </c>
      <c r="I19">
        <v>9300</v>
      </c>
      <c r="J19" t="str">
        <f>VLOOKUP(Patients!E19,Diagnosis!$A$2:$B$11,2,0)</f>
        <v>Heart Disease</v>
      </c>
      <c r="K19" t="str">
        <f>VLOOKUP(Patients!H19,Outcomes!$A$2:$B$4,2,0)</f>
        <v>Deceased</v>
      </c>
      <c r="L19">
        <f t="shared" si="0"/>
        <v>9</v>
      </c>
      <c r="M19" t="str">
        <f>VLOOKUP(A19,Labs!A19:C218,3,0)</f>
        <v>Hemoglobin</v>
      </c>
      <c r="N19" t="str">
        <f>IF(VLOOKUP(Patients!A19,Labs!A19:D218,4,0) &gt;120,"High","normal")</f>
        <v>normal</v>
      </c>
      <c r="O19" t="str">
        <f t="shared" si="1"/>
        <v>High Risk</v>
      </c>
    </row>
    <row r="20" spans="1:15" x14ac:dyDescent="0.3">
      <c r="A20">
        <v>19</v>
      </c>
      <c r="B20" t="s">
        <v>29</v>
      </c>
      <c r="C20">
        <v>32</v>
      </c>
      <c r="D20" t="s">
        <v>14</v>
      </c>
      <c r="E20">
        <v>6</v>
      </c>
      <c r="F20">
        <v>45795</v>
      </c>
      <c r="G20">
        <v>45797</v>
      </c>
      <c r="H20">
        <v>1</v>
      </c>
      <c r="I20">
        <v>4935</v>
      </c>
      <c r="J20" t="str">
        <f>VLOOKUP(Patients!E20,Diagnosis!$A$2:$B$11,2,0)</f>
        <v>COPD</v>
      </c>
      <c r="K20" t="str">
        <f>VLOOKUP(Patients!H20,Outcomes!$A$2:$B$4,2,0)</f>
        <v>Recovered</v>
      </c>
      <c r="L20">
        <f t="shared" si="0"/>
        <v>2</v>
      </c>
      <c r="M20" t="str">
        <f>VLOOKUP(A20,Labs!A20:C219,3,0)</f>
        <v>Vitamin D</v>
      </c>
      <c r="N20" t="str">
        <f>IF(VLOOKUP(Patients!A20,Labs!A20:D219,4,0) &gt;120,"High","normal")</f>
        <v>High</v>
      </c>
      <c r="O20" t="str">
        <f t="shared" si="1"/>
        <v>Low Risk</v>
      </c>
    </row>
    <row r="21" spans="1:15" x14ac:dyDescent="0.3">
      <c r="A21">
        <v>20</v>
      </c>
      <c r="B21" t="s">
        <v>30</v>
      </c>
      <c r="C21">
        <v>51</v>
      </c>
      <c r="D21" t="s">
        <v>10</v>
      </c>
      <c r="E21">
        <v>7</v>
      </c>
      <c r="F21">
        <v>45758</v>
      </c>
      <c r="G21">
        <v>45847</v>
      </c>
      <c r="H21">
        <v>3</v>
      </c>
      <c r="I21">
        <v>5876</v>
      </c>
      <c r="J21" t="str">
        <f>VLOOKUP(Patients!E21,Diagnosis!$A$2:$B$11,2,0)</f>
        <v>Cancer</v>
      </c>
      <c r="K21" t="str">
        <f>VLOOKUP(Patients!H21,Outcomes!$A$2:$B$4,2,0)</f>
        <v>Deceased</v>
      </c>
      <c r="L21">
        <f t="shared" si="0"/>
        <v>89</v>
      </c>
      <c r="M21" t="str">
        <f>VLOOKUP(A21,Labs!A21:C220,3,0)</f>
        <v>Creatinine</v>
      </c>
      <c r="N21" t="str">
        <f>IF(VLOOKUP(Patients!A21,Labs!A21:D220,4,0) &gt;120,"High","normal")</f>
        <v>High</v>
      </c>
      <c r="O21" t="str">
        <f t="shared" si="1"/>
        <v>High Risk</v>
      </c>
    </row>
    <row r="22" spans="1:15" x14ac:dyDescent="0.3">
      <c r="A22">
        <v>21</v>
      </c>
      <c r="B22" t="s">
        <v>31</v>
      </c>
      <c r="C22">
        <v>82</v>
      </c>
      <c r="D22" t="s">
        <v>14</v>
      </c>
      <c r="E22">
        <v>6</v>
      </c>
      <c r="F22">
        <v>45809</v>
      </c>
      <c r="G22">
        <v>45819</v>
      </c>
      <c r="H22">
        <v>3</v>
      </c>
      <c r="I22">
        <v>7959</v>
      </c>
      <c r="J22" t="str">
        <f>VLOOKUP(Patients!E22,Diagnosis!$A$2:$B$11,2,0)</f>
        <v>COPD</v>
      </c>
      <c r="K22" t="s">
        <v>243</v>
      </c>
      <c r="L22">
        <f t="shared" si="0"/>
        <v>10</v>
      </c>
      <c r="M22" t="str">
        <f>VLOOKUP(A22,Labs!A22:C221,3,0)</f>
        <v>Blood Sugar</v>
      </c>
      <c r="N22" t="str">
        <f>IF(VLOOKUP(Patients!A22,Labs!A22:D221,4,0) &gt;120,"High","normal")</f>
        <v>High</v>
      </c>
      <c r="O22" t="str">
        <f t="shared" si="1"/>
        <v>High Risk</v>
      </c>
    </row>
    <row r="23" spans="1:15" x14ac:dyDescent="0.3">
      <c r="A23">
        <v>22</v>
      </c>
      <c r="B23" t="s">
        <v>32</v>
      </c>
      <c r="C23">
        <v>31</v>
      </c>
      <c r="D23" t="s">
        <v>14</v>
      </c>
      <c r="E23">
        <v>6</v>
      </c>
      <c r="F23">
        <v>45834</v>
      </c>
      <c r="G23">
        <v>45841</v>
      </c>
      <c r="H23">
        <v>3</v>
      </c>
      <c r="I23">
        <v>2126</v>
      </c>
      <c r="J23" t="str">
        <f>VLOOKUP(Patients!E23,Diagnosis!$A$2:$B$11,2,0)</f>
        <v>COPD</v>
      </c>
      <c r="K23" t="str">
        <f>VLOOKUP(Patients!H23,Outcomes!$A$2:$B$4,2,0)</f>
        <v>Deceased</v>
      </c>
      <c r="L23">
        <f t="shared" si="0"/>
        <v>7</v>
      </c>
      <c r="M23" t="str">
        <f>VLOOKUP(A23,Labs!A23:C222,3,0)</f>
        <v>Vitamin D</v>
      </c>
      <c r="N23" t="str">
        <f>IF(VLOOKUP(Patients!A23,Labs!A23:D222,4,0) &gt;120,"High","normal")</f>
        <v>normal</v>
      </c>
      <c r="O23" t="str">
        <f t="shared" si="1"/>
        <v>High Risk</v>
      </c>
    </row>
    <row r="24" spans="1:15" x14ac:dyDescent="0.3">
      <c r="A24">
        <v>23</v>
      </c>
      <c r="B24" t="s">
        <v>33</v>
      </c>
      <c r="C24">
        <v>53</v>
      </c>
      <c r="D24" t="s">
        <v>10</v>
      </c>
      <c r="E24">
        <v>6</v>
      </c>
      <c r="F24">
        <v>45756</v>
      </c>
      <c r="G24">
        <v>45831</v>
      </c>
      <c r="H24">
        <v>3</v>
      </c>
      <c r="I24">
        <v>5177</v>
      </c>
      <c r="J24" t="str">
        <f>VLOOKUP(Patients!E24,Diagnosis!$A$2:$B$11,2,0)</f>
        <v>COPD</v>
      </c>
      <c r="K24" t="str">
        <f>VLOOKUP(Patients!H24,Outcomes!$A$2:$B$4,2,0)</f>
        <v>Deceased</v>
      </c>
      <c r="L24">
        <f t="shared" si="0"/>
        <v>75</v>
      </c>
      <c r="M24" t="str">
        <f>VLOOKUP(A24,Labs!A24:C223,3,0)</f>
        <v>Cholesterol</v>
      </c>
      <c r="N24" t="str">
        <f>IF(VLOOKUP(Patients!A24,Labs!A24:D223,4,0) &gt;120,"High","normal")</f>
        <v>High</v>
      </c>
      <c r="O24" t="str">
        <f t="shared" si="1"/>
        <v>High Risk</v>
      </c>
    </row>
    <row r="25" spans="1:15" x14ac:dyDescent="0.3">
      <c r="A25">
        <v>24</v>
      </c>
      <c r="B25" t="s">
        <v>34</v>
      </c>
      <c r="C25">
        <v>73</v>
      </c>
      <c r="D25" t="s">
        <v>14</v>
      </c>
      <c r="E25">
        <v>3</v>
      </c>
      <c r="F25">
        <v>45693</v>
      </c>
      <c r="G25">
        <v>45749</v>
      </c>
      <c r="H25">
        <v>1</v>
      </c>
      <c r="I25">
        <v>5056</v>
      </c>
      <c r="J25" t="str">
        <f>VLOOKUP(Patients!E25,Diagnosis!$A$2:$B$11,2,0)</f>
        <v>Heart Disease</v>
      </c>
      <c r="K25" t="str">
        <f>VLOOKUP(Patients!H25,Outcomes!$A$2:$B$4,2,0)</f>
        <v>Recovered</v>
      </c>
      <c r="L25">
        <f t="shared" si="0"/>
        <v>56</v>
      </c>
      <c r="M25" t="str">
        <f>VLOOKUP(A25,Labs!A25:C224,3,0)</f>
        <v>Blood Sugar</v>
      </c>
      <c r="N25" t="str">
        <f>IF(VLOOKUP(Patients!A25,Labs!A25:D224,4,0) &gt;120,"High","normal")</f>
        <v>High</v>
      </c>
      <c r="O25" t="str">
        <f t="shared" si="1"/>
        <v>High Risk</v>
      </c>
    </row>
    <row r="26" spans="1:15" x14ac:dyDescent="0.3">
      <c r="A26">
        <v>25</v>
      </c>
      <c r="B26" t="s">
        <v>35</v>
      </c>
      <c r="C26">
        <v>59</v>
      </c>
      <c r="D26" t="s">
        <v>10</v>
      </c>
      <c r="E26">
        <v>6</v>
      </c>
      <c r="F26">
        <v>45753</v>
      </c>
      <c r="G26">
        <v>45811</v>
      </c>
      <c r="H26">
        <v>3</v>
      </c>
      <c r="I26">
        <v>2603</v>
      </c>
      <c r="J26" t="str">
        <f>VLOOKUP(Patients!E26,Diagnosis!$A$2:$B$11,2,0)</f>
        <v>COPD</v>
      </c>
      <c r="K26" t="str">
        <f>VLOOKUP(Patients!H26,Outcomes!$A$2:$B$4,2,0)</f>
        <v>Deceased</v>
      </c>
      <c r="L26">
        <f t="shared" si="0"/>
        <v>58</v>
      </c>
      <c r="M26" t="str">
        <f>VLOOKUP(A26,Labs!A26:C225,3,0)</f>
        <v>Vitamin D</v>
      </c>
      <c r="N26" t="str">
        <f>IF(VLOOKUP(Patients!A26,Labs!A26:D225,4,0) &gt;120,"High","normal")</f>
        <v>High</v>
      </c>
      <c r="O26" t="str">
        <f t="shared" si="1"/>
        <v>High Risk</v>
      </c>
    </row>
    <row r="27" spans="1:15" x14ac:dyDescent="0.3">
      <c r="A27">
        <v>26</v>
      </c>
      <c r="B27" t="s">
        <v>36</v>
      </c>
      <c r="C27">
        <v>67</v>
      </c>
      <c r="D27" t="s">
        <v>10</v>
      </c>
      <c r="E27">
        <v>8</v>
      </c>
      <c r="F27">
        <v>45809</v>
      </c>
      <c r="G27">
        <v>45810</v>
      </c>
      <c r="H27">
        <v>2</v>
      </c>
      <c r="I27">
        <v>9966</v>
      </c>
      <c r="J27" t="str">
        <f>VLOOKUP(Patients!E27,Diagnosis!$A$2:$B$11,2,0)</f>
        <v>Arthritis</v>
      </c>
      <c r="K27" t="str">
        <f>VLOOKUP(Patients!H27,Outcomes!$A$2:$B$4,2,0)</f>
        <v>Complicated</v>
      </c>
      <c r="L27">
        <f t="shared" si="0"/>
        <v>1</v>
      </c>
      <c r="M27" t="str">
        <f>VLOOKUP(A27,Labs!A27:C226,3,0)</f>
        <v>Cholesterol</v>
      </c>
      <c r="N27" t="str">
        <f>IF(VLOOKUP(Patients!A27,Labs!A27:D226,4,0) &gt;120,"High","normal")</f>
        <v>High</v>
      </c>
      <c r="O27" t="str">
        <f t="shared" si="1"/>
        <v>High Risk</v>
      </c>
    </row>
    <row r="28" spans="1:15" x14ac:dyDescent="0.3">
      <c r="A28">
        <v>27</v>
      </c>
      <c r="B28" t="s">
        <v>37</v>
      </c>
      <c r="C28">
        <v>31</v>
      </c>
      <c r="D28" t="s">
        <v>14</v>
      </c>
      <c r="E28">
        <v>2</v>
      </c>
      <c r="F28">
        <v>45808</v>
      </c>
      <c r="G28">
        <v>45809</v>
      </c>
      <c r="H28">
        <v>2</v>
      </c>
      <c r="I28">
        <v>5449</v>
      </c>
      <c r="J28" t="str">
        <f>VLOOKUP(Patients!E28,Diagnosis!$A$2:$B$11,2,0)</f>
        <v>Diabetes</v>
      </c>
      <c r="K28" t="str">
        <f>VLOOKUP(Patients!H28,Outcomes!$A$2:$B$4,2,0)</f>
        <v>Complicated</v>
      </c>
      <c r="L28">
        <f t="shared" si="0"/>
        <v>1</v>
      </c>
      <c r="M28" t="str">
        <f>VLOOKUP(A28,Labs!A28:C227,3,0)</f>
        <v>Hemoglobin</v>
      </c>
      <c r="N28" t="str">
        <f>IF(VLOOKUP(Patients!A28,Labs!A28:D227,4,0) &gt;120,"High","normal")</f>
        <v>High</v>
      </c>
      <c r="O28" t="str">
        <f t="shared" si="1"/>
        <v>High Risk</v>
      </c>
    </row>
    <row r="29" spans="1:15" x14ac:dyDescent="0.3">
      <c r="A29">
        <v>28</v>
      </c>
      <c r="B29" t="s">
        <v>38</v>
      </c>
      <c r="C29">
        <v>89</v>
      </c>
      <c r="D29" t="s">
        <v>10</v>
      </c>
      <c r="E29">
        <v>5</v>
      </c>
      <c r="F29">
        <v>45694</v>
      </c>
      <c r="G29">
        <v>45776</v>
      </c>
      <c r="H29">
        <v>3</v>
      </c>
      <c r="I29">
        <v>8024</v>
      </c>
      <c r="J29" t="str">
        <f>VLOOKUP(Patients!E29,Diagnosis!$A$2:$B$11,2,0)</f>
        <v>Stroke</v>
      </c>
      <c r="K29" t="str">
        <f>VLOOKUP(Patients!H29,Outcomes!$A$2:$B$4,2,0)</f>
        <v>Deceased</v>
      </c>
      <c r="L29">
        <f t="shared" si="0"/>
        <v>82</v>
      </c>
      <c r="M29" t="str">
        <f>VLOOKUP(A29,Labs!A29:C228,3,0)</f>
        <v>Creatinine</v>
      </c>
      <c r="N29" t="str">
        <f>IF(VLOOKUP(Patients!A29,Labs!A29:D228,4,0) &gt;120,"High","normal")</f>
        <v>High</v>
      </c>
      <c r="O29" t="str">
        <f t="shared" si="1"/>
        <v>High Risk</v>
      </c>
    </row>
    <row r="30" spans="1:15" x14ac:dyDescent="0.3">
      <c r="A30">
        <v>29</v>
      </c>
      <c r="B30" t="s">
        <v>39</v>
      </c>
      <c r="C30">
        <v>50</v>
      </c>
      <c r="D30" t="s">
        <v>10</v>
      </c>
      <c r="E30">
        <v>1</v>
      </c>
      <c r="F30">
        <v>45669</v>
      </c>
      <c r="G30">
        <v>45671</v>
      </c>
      <c r="H30">
        <v>3</v>
      </c>
      <c r="I30">
        <v>7109</v>
      </c>
      <c r="J30" t="str">
        <f>VLOOKUP(Patients!E30,Diagnosis!$A$2:$B$11,2,0)</f>
        <v>Hypertension</v>
      </c>
      <c r="K30" t="str">
        <f>VLOOKUP(Patients!H30,Outcomes!$A$2:$B$4,2,0)</f>
        <v>Deceased</v>
      </c>
      <c r="L30">
        <f t="shared" si="0"/>
        <v>2</v>
      </c>
      <c r="M30" t="str">
        <f>VLOOKUP(A30,Labs!A30:C229,3,0)</f>
        <v>Cholesterol</v>
      </c>
      <c r="N30" t="str">
        <f>IF(VLOOKUP(Patients!A30,Labs!A30:D229,4,0) &gt;120,"High","normal")</f>
        <v>normal</v>
      </c>
      <c r="O30" t="str">
        <f t="shared" si="1"/>
        <v>High Risk</v>
      </c>
    </row>
    <row r="31" spans="1:15" x14ac:dyDescent="0.3">
      <c r="A31">
        <v>30</v>
      </c>
      <c r="B31" t="s">
        <v>40</v>
      </c>
      <c r="C31">
        <v>62</v>
      </c>
      <c r="D31" t="s">
        <v>10</v>
      </c>
      <c r="E31">
        <v>1</v>
      </c>
      <c r="F31">
        <v>45770</v>
      </c>
      <c r="G31">
        <v>45774</v>
      </c>
      <c r="H31">
        <v>2</v>
      </c>
      <c r="I31">
        <v>6146</v>
      </c>
      <c r="J31" t="str">
        <f>VLOOKUP(Patients!E31,Diagnosis!$A$2:$B$11,2,0)</f>
        <v>Hypertension</v>
      </c>
      <c r="K31" t="str">
        <f>VLOOKUP(Patients!H31,Outcomes!$A$2:$B$4,2,0)</f>
        <v>Complicated</v>
      </c>
      <c r="L31">
        <f t="shared" si="0"/>
        <v>4</v>
      </c>
      <c r="M31" t="str">
        <f>VLOOKUP(A31,Labs!A31:C230,3,0)</f>
        <v>Blood Pressure</v>
      </c>
      <c r="N31" t="str">
        <f>IF(VLOOKUP(Patients!A31,Labs!A31:D230,4,0) &gt;120,"High","normal")</f>
        <v>High</v>
      </c>
      <c r="O31" t="str">
        <f t="shared" si="1"/>
        <v>High Risk</v>
      </c>
    </row>
    <row r="32" spans="1:15" x14ac:dyDescent="0.3">
      <c r="A32">
        <v>31</v>
      </c>
      <c r="B32" t="s">
        <v>41</v>
      </c>
      <c r="C32">
        <v>41</v>
      </c>
      <c r="D32" t="s">
        <v>10</v>
      </c>
      <c r="E32">
        <v>5</v>
      </c>
      <c r="F32">
        <v>45670</v>
      </c>
      <c r="G32">
        <v>45839</v>
      </c>
      <c r="H32">
        <v>2</v>
      </c>
      <c r="I32">
        <v>9196</v>
      </c>
      <c r="J32" t="str">
        <f>VLOOKUP(Patients!E32,Diagnosis!$A$2:$B$11,2,0)</f>
        <v>Stroke</v>
      </c>
      <c r="K32" t="str">
        <f>VLOOKUP(Patients!H32,Outcomes!$A$2:$B$4,2,0)</f>
        <v>Complicated</v>
      </c>
      <c r="L32">
        <f t="shared" si="0"/>
        <v>169</v>
      </c>
      <c r="M32" t="str">
        <f>VLOOKUP(A32,Labs!A32:C231,3,0)</f>
        <v>Cholesterol</v>
      </c>
      <c r="N32" t="str">
        <f>IF(VLOOKUP(Patients!A32,Labs!A32:D231,4,0) &gt;120,"High","normal")</f>
        <v>High</v>
      </c>
      <c r="O32" t="str">
        <f t="shared" si="1"/>
        <v>High Risk</v>
      </c>
    </row>
    <row r="33" spans="1:15" x14ac:dyDescent="0.3">
      <c r="A33">
        <v>32</v>
      </c>
      <c r="B33" t="s">
        <v>42</v>
      </c>
      <c r="C33">
        <v>87</v>
      </c>
      <c r="D33" t="s">
        <v>14</v>
      </c>
      <c r="E33">
        <v>3</v>
      </c>
      <c r="F33">
        <v>45680</v>
      </c>
      <c r="G33">
        <v>45684</v>
      </c>
      <c r="H33">
        <v>1</v>
      </c>
      <c r="I33">
        <v>5533</v>
      </c>
      <c r="J33" t="str">
        <f>VLOOKUP(Patients!E33,Diagnosis!$A$2:$B$11,2,0)</f>
        <v>Heart Disease</v>
      </c>
      <c r="K33" t="str">
        <f>VLOOKUP(Patients!H33,Outcomes!$A$2:$B$4,2,0)</f>
        <v>Recovered</v>
      </c>
      <c r="L33">
        <f t="shared" si="0"/>
        <v>4</v>
      </c>
      <c r="M33" t="str">
        <f>VLOOKUP(A33,Labs!A33:C232,3,0)</f>
        <v>Cholesterol</v>
      </c>
      <c r="N33" t="str">
        <f>IF(VLOOKUP(Patients!A33,Labs!A33:D232,4,0) &gt;120,"High","normal")</f>
        <v>normal</v>
      </c>
      <c r="O33" t="str">
        <f t="shared" si="1"/>
        <v>High Risk</v>
      </c>
    </row>
    <row r="34" spans="1:15" x14ac:dyDescent="0.3">
      <c r="A34">
        <v>33</v>
      </c>
      <c r="B34" t="s">
        <v>43</v>
      </c>
      <c r="C34">
        <v>51</v>
      </c>
      <c r="D34" t="s">
        <v>10</v>
      </c>
      <c r="E34">
        <v>4</v>
      </c>
      <c r="F34">
        <v>45756</v>
      </c>
      <c r="G34">
        <v>45779</v>
      </c>
      <c r="H34">
        <v>2</v>
      </c>
      <c r="I34">
        <v>5367</v>
      </c>
      <c r="J34" t="str">
        <f>VLOOKUP(Patients!E34,Diagnosis!$A$2:$B$11,2,0)</f>
        <v>Asthma</v>
      </c>
      <c r="K34" t="str">
        <f>VLOOKUP(Patients!H34,Outcomes!$A$2:$B$4,2,0)</f>
        <v>Complicated</v>
      </c>
      <c r="L34">
        <f t="shared" si="0"/>
        <v>23</v>
      </c>
      <c r="M34" t="str">
        <f>VLOOKUP(A34,Labs!A34:C233,3,0)</f>
        <v>Creatinine</v>
      </c>
      <c r="N34" t="str">
        <f>IF(VLOOKUP(Patients!A34,Labs!A34:D233,4,0) &gt;120,"High","normal")</f>
        <v>High</v>
      </c>
      <c r="O34" t="str">
        <f t="shared" si="1"/>
        <v>High Risk</v>
      </c>
    </row>
    <row r="35" spans="1:15" x14ac:dyDescent="0.3">
      <c r="A35">
        <v>34</v>
      </c>
      <c r="B35" t="s">
        <v>44</v>
      </c>
      <c r="C35">
        <v>73</v>
      </c>
      <c r="D35" t="s">
        <v>14</v>
      </c>
      <c r="E35">
        <v>3</v>
      </c>
      <c r="F35">
        <v>45762</v>
      </c>
      <c r="G35">
        <v>45771</v>
      </c>
      <c r="H35">
        <v>2</v>
      </c>
      <c r="I35">
        <v>5368</v>
      </c>
      <c r="J35" t="str">
        <f>VLOOKUP(Patients!E35,Diagnosis!$A$2:$B$11,2,0)</f>
        <v>Heart Disease</v>
      </c>
      <c r="K35" t="str">
        <f>VLOOKUP(Patients!H35,Outcomes!$A$2:$B$4,2,0)</f>
        <v>Complicated</v>
      </c>
      <c r="L35">
        <f t="shared" si="0"/>
        <v>9</v>
      </c>
      <c r="M35" t="str">
        <f>VLOOKUP(A35,Labs!A35:C234,3,0)</f>
        <v>Blood Pressure</v>
      </c>
      <c r="N35" t="str">
        <f>IF(VLOOKUP(Patients!A35,Labs!A35:D234,4,0) &gt;120,"High","normal")</f>
        <v>High</v>
      </c>
      <c r="O35" t="str">
        <f t="shared" si="1"/>
        <v>High Risk</v>
      </c>
    </row>
    <row r="36" spans="1:15" x14ac:dyDescent="0.3">
      <c r="A36">
        <v>35</v>
      </c>
      <c r="B36" t="s">
        <v>45</v>
      </c>
      <c r="C36">
        <v>54</v>
      </c>
      <c r="D36" t="s">
        <v>10</v>
      </c>
      <c r="E36">
        <v>1</v>
      </c>
      <c r="F36">
        <v>45687</v>
      </c>
      <c r="G36">
        <v>45700</v>
      </c>
      <c r="H36">
        <v>3</v>
      </c>
      <c r="I36">
        <v>5797</v>
      </c>
      <c r="J36" t="str">
        <f>VLOOKUP(Patients!E36,Diagnosis!$A$2:$B$11,2,0)</f>
        <v>Hypertension</v>
      </c>
      <c r="K36" t="str">
        <f>VLOOKUP(Patients!H36,Outcomes!$A$2:$B$4,2,0)</f>
        <v>Deceased</v>
      </c>
      <c r="L36">
        <f t="shared" si="0"/>
        <v>13</v>
      </c>
      <c r="M36" t="str">
        <f>VLOOKUP(A36,Labs!A36:C235,3,0)</f>
        <v>Vitamin D</v>
      </c>
      <c r="N36" t="str">
        <f>IF(VLOOKUP(Patients!A36,Labs!A36:D235,4,0) &gt;120,"High","normal")</f>
        <v>normal</v>
      </c>
      <c r="O36" t="str">
        <f t="shared" si="1"/>
        <v>High Risk</v>
      </c>
    </row>
    <row r="37" spans="1:15" x14ac:dyDescent="0.3">
      <c r="A37">
        <v>36</v>
      </c>
      <c r="B37" t="s">
        <v>46</v>
      </c>
      <c r="C37">
        <v>78</v>
      </c>
      <c r="D37" t="s">
        <v>10</v>
      </c>
      <c r="E37">
        <v>1</v>
      </c>
      <c r="F37">
        <v>45674</v>
      </c>
      <c r="G37">
        <v>45758</v>
      </c>
      <c r="H37">
        <v>2</v>
      </c>
      <c r="I37">
        <v>8922</v>
      </c>
      <c r="J37" t="str">
        <f>VLOOKUP(Patients!E37,Diagnosis!$A$2:$B$11,2,0)</f>
        <v>Hypertension</v>
      </c>
      <c r="K37" t="str">
        <f>VLOOKUP(Patients!H37,Outcomes!$A$2:$B$4,2,0)</f>
        <v>Complicated</v>
      </c>
      <c r="L37">
        <f t="shared" si="0"/>
        <v>84</v>
      </c>
      <c r="M37" t="str">
        <f>VLOOKUP(A37,Labs!A37:C236,3,0)</f>
        <v>Vitamin D</v>
      </c>
      <c r="N37" t="str">
        <f>IF(VLOOKUP(Patients!A37,Labs!A37:D236,4,0) &gt;120,"High","normal")</f>
        <v>High</v>
      </c>
      <c r="O37" t="str">
        <f t="shared" si="1"/>
        <v>High Risk</v>
      </c>
    </row>
    <row r="38" spans="1:15" x14ac:dyDescent="0.3">
      <c r="A38">
        <v>37</v>
      </c>
      <c r="B38" t="s">
        <v>47</v>
      </c>
      <c r="C38">
        <v>56</v>
      </c>
      <c r="D38" t="s">
        <v>10</v>
      </c>
      <c r="E38">
        <v>5</v>
      </c>
      <c r="F38">
        <v>45770</v>
      </c>
      <c r="G38">
        <v>45780</v>
      </c>
      <c r="H38">
        <v>1</v>
      </c>
      <c r="I38">
        <v>7526</v>
      </c>
      <c r="J38" t="str">
        <f>VLOOKUP(Patients!E38,Diagnosis!$A$2:$B$11,2,0)</f>
        <v>Stroke</v>
      </c>
      <c r="K38" t="str">
        <f>VLOOKUP(Patients!H38,Outcomes!$A$2:$B$4,2,0)</f>
        <v>Recovered</v>
      </c>
      <c r="L38">
        <f t="shared" si="0"/>
        <v>10</v>
      </c>
      <c r="M38" t="str">
        <f>VLOOKUP(A38,Labs!A38:C237,3,0)</f>
        <v>Cholesterol</v>
      </c>
      <c r="N38" t="str">
        <f>IF(VLOOKUP(Patients!A38,Labs!A38:D237,4,0) &gt;120,"High","normal")</f>
        <v>High</v>
      </c>
      <c r="O38" t="str">
        <f t="shared" si="1"/>
        <v>Low Risk</v>
      </c>
    </row>
    <row r="39" spans="1:15" x14ac:dyDescent="0.3">
      <c r="A39">
        <v>38</v>
      </c>
      <c r="B39" t="s">
        <v>48</v>
      </c>
      <c r="C39">
        <v>88</v>
      </c>
      <c r="D39" t="s">
        <v>10</v>
      </c>
      <c r="E39">
        <v>6</v>
      </c>
      <c r="F39">
        <v>45719</v>
      </c>
      <c r="G39">
        <v>45738</v>
      </c>
      <c r="H39">
        <v>2</v>
      </c>
      <c r="I39">
        <v>3792</v>
      </c>
      <c r="J39" t="str">
        <f>VLOOKUP(Patients!E39,Diagnosis!$A$2:$B$11,2,0)</f>
        <v>COPD</v>
      </c>
      <c r="K39" t="str">
        <f>VLOOKUP(Patients!H39,Outcomes!$A$2:$B$4,2,0)</f>
        <v>Complicated</v>
      </c>
      <c r="L39">
        <f t="shared" si="0"/>
        <v>19</v>
      </c>
      <c r="M39" t="str">
        <f>VLOOKUP(A39,Labs!A39:C238,3,0)</f>
        <v>Blood Pressure</v>
      </c>
      <c r="N39" t="str">
        <f>IF(VLOOKUP(Patients!A39,Labs!A39:D238,4,0) &gt;120,"High","normal")</f>
        <v>High</v>
      </c>
      <c r="O39" t="str">
        <f t="shared" si="1"/>
        <v>High Risk</v>
      </c>
    </row>
    <row r="40" spans="1:15" x14ac:dyDescent="0.3">
      <c r="A40">
        <v>39</v>
      </c>
      <c r="B40" t="s">
        <v>49</v>
      </c>
      <c r="C40">
        <v>71</v>
      </c>
      <c r="D40" t="s">
        <v>14</v>
      </c>
      <c r="E40">
        <v>3</v>
      </c>
      <c r="F40">
        <v>45741</v>
      </c>
      <c r="G40">
        <v>45742</v>
      </c>
      <c r="H40">
        <v>3</v>
      </c>
      <c r="I40">
        <v>4861</v>
      </c>
      <c r="J40" t="str">
        <f>VLOOKUP(Patients!E40,Diagnosis!$A$2:$B$11,2,0)</f>
        <v>Heart Disease</v>
      </c>
      <c r="K40" t="str">
        <f>VLOOKUP(Patients!H40,Outcomes!$A$2:$B$4,2,0)</f>
        <v>Deceased</v>
      </c>
      <c r="L40">
        <f t="shared" si="0"/>
        <v>1</v>
      </c>
      <c r="M40" t="str">
        <f>VLOOKUP(A40,Labs!A40:C239,3,0)</f>
        <v>Blood Pressure</v>
      </c>
      <c r="N40" t="str">
        <f>IF(VLOOKUP(Patients!A40,Labs!A40:D239,4,0) &gt;120,"High","normal")</f>
        <v>normal</v>
      </c>
      <c r="O40" t="str">
        <f t="shared" si="1"/>
        <v>High Risk</v>
      </c>
    </row>
    <row r="41" spans="1:15" x14ac:dyDescent="0.3">
      <c r="A41">
        <v>40</v>
      </c>
      <c r="B41" t="s">
        <v>50</v>
      </c>
      <c r="C41">
        <v>57</v>
      </c>
      <c r="D41" t="s">
        <v>14</v>
      </c>
      <c r="E41">
        <v>9</v>
      </c>
      <c r="F41">
        <v>45769</v>
      </c>
      <c r="G41">
        <v>45820</v>
      </c>
      <c r="H41">
        <v>3</v>
      </c>
      <c r="I41">
        <v>7732</v>
      </c>
      <c r="J41" t="str">
        <f>VLOOKUP(Patients!E41,Diagnosis!$A$2:$B$11,2,0)</f>
        <v>Kidney Disease</v>
      </c>
      <c r="K41" t="str">
        <f>VLOOKUP(Patients!H41,Outcomes!$A$2:$B$4,2,0)</f>
        <v>Deceased</v>
      </c>
      <c r="L41">
        <f t="shared" si="0"/>
        <v>51</v>
      </c>
      <c r="M41" t="str">
        <f>VLOOKUP(A41,Labs!A41:C240,3,0)</f>
        <v>Creatinine</v>
      </c>
      <c r="N41" t="str">
        <f>IF(VLOOKUP(Patients!A41,Labs!A41:D240,4,0) &gt;120,"High","normal")</f>
        <v>High</v>
      </c>
      <c r="O41" t="str">
        <f t="shared" si="1"/>
        <v>High Risk</v>
      </c>
    </row>
    <row r="42" spans="1:15" x14ac:dyDescent="0.3">
      <c r="A42">
        <v>41</v>
      </c>
      <c r="B42" t="s">
        <v>51</v>
      </c>
      <c r="C42">
        <v>89</v>
      </c>
      <c r="D42" t="s">
        <v>10</v>
      </c>
      <c r="E42">
        <v>5</v>
      </c>
      <c r="F42">
        <v>45743</v>
      </c>
      <c r="G42">
        <v>45828</v>
      </c>
      <c r="H42">
        <v>2</v>
      </c>
      <c r="I42">
        <v>5476</v>
      </c>
      <c r="J42" t="str">
        <f>VLOOKUP(Patients!E42,Diagnosis!$A$2:$B$11,2,0)</f>
        <v>Stroke</v>
      </c>
      <c r="K42" t="str">
        <f>VLOOKUP(Patients!H42,Outcomes!$A$2:$B$4,2,0)</f>
        <v>Complicated</v>
      </c>
      <c r="L42">
        <f t="shared" si="0"/>
        <v>85</v>
      </c>
      <c r="M42" t="str">
        <f>VLOOKUP(A42,Labs!A42:C241,3,0)</f>
        <v>Hemoglobin</v>
      </c>
      <c r="N42" t="str">
        <f>IF(VLOOKUP(Patients!A42,Labs!A42:D241,4,0) &gt;120,"High","normal")</f>
        <v>High</v>
      </c>
      <c r="O42" t="str">
        <f t="shared" si="1"/>
        <v>High Risk</v>
      </c>
    </row>
    <row r="43" spans="1:15" x14ac:dyDescent="0.3">
      <c r="A43">
        <v>42</v>
      </c>
      <c r="B43" t="s">
        <v>52</v>
      </c>
      <c r="C43">
        <v>45</v>
      </c>
      <c r="D43" t="s">
        <v>10</v>
      </c>
      <c r="E43">
        <v>8</v>
      </c>
      <c r="F43">
        <v>45798</v>
      </c>
      <c r="G43">
        <v>45848</v>
      </c>
      <c r="H43">
        <v>3</v>
      </c>
      <c r="I43">
        <v>5417</v>
      </c>
      <c r="J43" t="str">
        <f>VLOOKUP(Patients!E43,Diagnosis!$A$2:$B$11,2,0)</f>
        <v>Arthritis</v>
      </c>
      <c r="K43" t="str">
        <f>VLOOKUP(Patients!H43,Outcomes!$A$2:$B$4,2,0)</f>
        <v>Deceased</v>
      </c>
      <c r="L43">
        <f t="shared" si="0"/>
        <v>50</v>
      </c>
      <c r="M43" t="str">
        <f>VLOOKUP(A43,Labs!A43:C242,3,0)</f>
        <v>Vitamin D</v>
      </c>
      <c r="N43" t="str">
        <f>IF(VLOOKUP(Patients!A43,Labs!A43:D242,4,0) &gt;120,"High","normal")</f>
        <v>High</v>
      </c>
      <c r="O43" t="str">
        <f t="shared" si="1"/>
        <v>High Risk</v>
      </c>
    </row>
    <row r="44" spans="1:15" x14ac:dyDescent="0.3">
      <c r="A44">
        <v>43</v>
      </c>
      <c r="B44" t="s">
        <v>53</v>
      </c>
      <c r="C44">
        <v>44</v>
      </c>
      <c r="D44" t="s">
        <v>14</v>
      </c>
      <c r="E44">
        <v>1</v>
      </c>
      <c r="F44">
        <v>45676</v>
      </c>
      <c r="G44">
        <v>45784</v>
      </c>
      <c r="H44">
        <v>1</v>
      </c>
      <c r="I44">
        <v>3645</v>
      </c>
      <c r="J44" t="str">
        <f>VLOOKUP(Patients!E44,Diagnosis!$A$2:$B$11,2,0)</f>
        <v>Hypertension</v>
      </c>
      <c r="K44" t="str">
        <f>VLOOKUP(Patients!H44,Outcomes!$A$2:$B$4,2,0)</f>
        <v>Recovered</v>
      </c>
      <c r="L44">
        <f t="shared" si="0"/>
        <v>108</v>
      </c>
      <c r="M44" t="str">
        <f>VLOOKUP(A44,Labs!A44:C243,3,0)</f>
        <v>Creatinine</v>
      </c>
      <c r="N44" t="str">
        <f>IF(VLOOKUP(Patients!A44,Labs!A44:D243,4,0) &gt;120,"High","normal")</f>
        <v>High</v>
      </c>
      <c r="O44" t="str">
        <f t="shared" si="1"/>
        <v>Low Risk</v>
      </c>
    </row>
    <row r="45" spans="1:15" x14ac:dyDescent="0.3">
      <c r="A45">
        <v>44</v>
      </c>
      <c r="B45" t="s">
        <v>54</v>
      </c>
      <c r="C45">
        <v>76</v>
      </c>
      <c r="D45" t="s">
        <v>10</v>
      </c>
      <c r="E45">
        <v>5</v>
      </c>
      <c r="F45">
        <v>45834</v>
      </c>
      <c r="G45">
        <v>45843</v>
      </c>
      <c r="H45">
        <v>1</v>
      </c>
      <c r="I45">
        <v>8563</v>
      </c>
      <c r="J45" t="str">
        <f>VLOOKUP(Patients!E45,Diagnosis!$A$2:$B$11,2,0)</f>
        <v>Stroke</v>
      </c>
      <c r="K45" t="str">
        <f>VLOOKUP(Patients!H45,Outcomes!$A$2:$B$4,2,0)</f>
        <v>Recovered</v>
      </c>
      <c r="L45">
        <f t="shared" si="0"/>
        <v>9</v>
      </c>
      <c r="M45" t="str">
        <f>VLOOKUP(A45,Labs!A45:C244,3,0)</f>
        <v>Blood Sugar</v>
      </c>
      <c r="N45" t="str">
        <f>IF(VLOOKUP(Patients!A45,Labs!A45:D244,4,0) &gt;120,"High","normal")</f>
        <v>normal</v>
      </c>
      <c r="O45" t="str">
        <f t="shared" si="1"/>
        <v>High Risk</v>
      </c>
    </row>
    <row r="46" spans="1:15" x14ac:dyDescent="0.3">
      <c r="A46">
        <v>45</v>
      </c>
      <c r="B46" t="s">
        <v>55</v>
      </c>
      <c r="C46">
        <v>80</v>
      </c>
      <c r="D46" t="s">
        <v>10</v>
      </c>
      <c r="E46">
        <v>3</v>
      </c>
      <c r="F46">
        <v>45757</v>
      </c>
      <c r="G46">
        <v>45789</v>
      </c>
      <c r="H46">
        <v>2</v>
      </c>
      <c r="I46">
        <v>3205</v>
      </c>
      <c r="J46" t="str">
        <f>VLOOKUP(Patients!E46,Diagnosis!$A$2:$B$11,2,0)</f>
        <v>Heart Disease</v>
      </c>
      <c r="K46" t="str">
        <f>VLOOKUP(Patients!H46,Outcomes!$A$2:$B$4,2,0)</f>
        <v>Complicated</v>
      </c>
      <c r="L46">
        <f t="shared" si="0"/>
        <v>32</v>
      </c>
      <c r="M46" t="str">
        <f>VLOOKUP(A46,Labs!A46:C245,3,0)</f>
        <v>Vitamin D</v>
      </c>
      <c r="N46" t="str">
        <f>IF(VLOOKUP(Patients!A46,Labs!A46:D245,4,0) &gt;120,"High","normal")</f>
        <v>High</v>
      </c>
      <c r="O46" t="str">
        <f t="shared" si="1"/>
        <v>High Risk</v>
      </c>
    </row>
    <row r="47" spans="1:15" x14ac:dyDescent="0.3">
      <c r="A47">
        <v>46</v>
      </c>
      <c r="B47" t="s">
        <v>56</v>
      </c>
      <c r="C47">
        <v>73</v>
      </c>
      <c r="D47" t="s">
        <v>10</v>
      </c>
      <c r="E47">
        <v>1</v>
      </c>
      <c r="F47">
        <v>45797</v>
      </c>
      <c r="G47">
        <v>45801</v>
      </c>
      <c r="H47">
        <v>2</v>
      </c>
      <c r="I47">
        <v>5030</v>
      </c>
      <c r="J47" t="str">
        <f>VLOOKUP(Patients!E47,Diagnosis!$A$2:$B$11,2,0)</f>
        <v>Hypertension</v>
      </c>
      <c r="K47" t="str">
        <f>VLOOKUP(Patients!H47,Outcomes!$A$2:$B$4,2,0)</f>
        <v>Complicated</v>
      </c>
      <c r="L47">
        <f t="shared" si="0"/>
        <v>4</v>
      </c>
      <c r="M47" t="str">
        <f>VLOOKUP(A47,Labs!A47:C246,3,0)</f>
        <v>Creatinine</v>
      </c>
      <c r="N47" t="str">
        <f>IF(VLOOKUP(Patients!A47,Labs!A47:D246,4,0) &gt;120,"High","normal")</f>
        <v>normal</v>
      </c>
      <c r="O47" t="str">
        <f t="shared" si="1"/>
        <v>High Risk</v>
      </c>
    </row>
    <row r="48" spans="1:15" x14ac:dyDescent="0.3">
      <c r="A48">
        <v>47</v>
      </c>
      <c r="B48" t="s">
        <v>57</v>
      </c>
      <c r="C48">
        <v>84</v>
      </c>
      <c r="D48" t="s">
        <v>14</v>
      </c>
      <c r="E48">
        <v>4</v>
      </c>
      <c r="F48">
        <v>45804</v>
      </c>
      <c r="G48">
        <v>45813</v>
      </c>
      <c r="H48">
        <v>2</v>
      </c>
      <c r="I48">
        <v>4872</v>
      </c>
      <c r="J48" t="str">
        <f>VLOOKUP(Patients!E48,Diagnosis!$A$2:$B$11,2,0)</f>
        <v>Asthma</v>
      </c>
      <c r="K48" t="str">
        <f>VLOOKUP(Patients!H48,Outcomes!$A$2:$B$4,2,0)</f>
        <v>Complicated</v>
      </c>
      <c r="L48">
        <f t="shared" si="0"/>
        <v>9</v>
      </c>
      <c r="M48" t="str">
        <f>VLOOKUP(A48,Labs!A48:C247,3,0)</f>
        <v>Vitamin D</v>
      </c>
      <c r="N48" t="str">
        <f>IF(VLOOKUP(Patients!A48,Labs!A48:D247,4,0) &gt;120,"High","normal")</f>
        <v>normal</v>
      </c>
      <c r="O48" t="str">
        <f t="shared" si="1"/>
        <v>High Risk</v>
      </c>
    </row>
    <row r="49" spans="1:15" x14ac:dyDescent="0.3">
      <c r="A49">
        <v>48</v>
      </c>
      <c r="B49" t="s">
        <v>58</v>
      </c>
      <c r="C49">
        <v>81</v>
      </c>
      <c r="D49" t="s">
        <v>14</v>
      </c>
      <c r="E49">
        <v>5</v>
      </c>
      <c r="F49">
        <v>45733</v>
      </c>
      <c r="G49">
        <v>45740</v>
      </c>
      <c r="H49">
        <v>3</v>
      </c>
      <c r="I49">
        <v>5072</v>
      </c>
      <c r="J49" t="str">
        <f>VLOOKUP(Patients!E49,Diagnosis!$A$2:$B$11,2,0)</f>
        <v>Stroke</v>
      </c>
      <c r="K49" t="str">
        <f>VLOOKUP(Patients!H49,Outcomes!$A$2:$B$4,2,0)</f>
        <v>Deceased</v>
      </c>
      <c r="L49">
        <f t="shared" si="0"/>
        <v>7</v>
      </c>
      <c r="M49" t="str">
        <f>VLOOKUP(A49,Labs!A49:C248,3,0)</f>
        <v>Hemoglobin</v>
      </c>
      <c r="N49" t="str">
        <f>IF(VLOOKUP(Patients!A49,Labs!A49:D248,4,0) &gt;120,"High","normal")</f>
        <v>High</v>
      </c>
      <c r="O49" t="str">
        <f t="shared" si="1"/>
        <v>High Risk</v>
      </c>
    </row>
    <row r="50" spans="1:15" x14ac:dyDescent="0.3">
      <c r="A50">
        <v>49</v>
      </c>
      <c r="B50" t="s">
        <v>59</v>
      </c>
      <c r="C50">
        <v>86</v>
      </c>
      <c r="D50" t="s">
        <v>14</v>
      </c>
      <c r="E50">
        <v>7</v>
      </c>
      <c r="F50">
        <v>45666</v>
      </c>
      <c r="G50">
        <v>45799</v>
      </c>
      <c r="H50">
        <v>1</v>
      </c>
      <c r="I50">
        <v>3854</v>
      </c>
      <c r="J50" t="str">
        <f>VLOOKUP(Patients!E50,Diagnosis!$A$2:$B$11,2,0)</f>
        <v>Cancer</v>
      </c>
      <c r="K50" t="str">
        <f>VLOOKUP(Patients!H50,Outcomes!$A$2:$B$4,2,0)</f>
        <v>Recovered</v>
      </c>
      <c r="L50">
        <f t="shared" si="0"/>
        <v>133</v>
      </c>
      <c r="M50" t="str">
        <f>VLOOKUP(A50,Labs!A50:C249,3,0)</f>
        <v>Blood Sugar</v>
      </c>
      <c r="N50" t="str">
        <f>IF(VLOOKUP(Patients!A50,Labs!A50:D249,4,0) &gt;120,"High","normal")</f>
        <v>High</v>
      </c>
      <c r="O50" t="str">
        <f t="shared" si="1"/>
        <v>High Risk</v>
      </c>
    </row>
    <row r="51" spans="1:15" x14ac:dyDescent="0.3">
      <c r="A51">
        <v>50</v>
      </c>
      <c r="B51" t="s">
        <v>60</v>
      </c>
      <c r="C51">
        <v>32</v>
      </c>
      <c r="D51" t="s">
        <v>10</v>
      </c>
      <c r="E51">
        <v>1</v>
      </c>
      <c r="F51">
        <v>45685</v>
      </c>
      <c r="G51">
        <v>45723</v>
      </c>
      <c r="H51">
        <v>1</v>
      </c>
      <c r="I51">
        <v>6021</v>
      </c>
      <c r="J51" t="str">
        <f>VLOOKUP(Patients!E51,Diagnosis!$A$2:$B$11,2,0)</f>
        <v>Hypertension</v>
      </c>
      <c r="K51" t="str">
        <f>VLOOKUP(Patients!H51,Outcomes!$A$2:$B$4,2,0)</f>
        <v>Recovered</v>
      </c>
      <c r="L51">
        <f t="shared" si="0"/>
        <v>38</v>
      </c>
      <c r="M51" t="str">
        <f>VLOOKUP(A51,Labs!A51:C250,3,0)</f>
        <v>Hemoglobin</v>
      </c>
      <c r="N51" t="str">
        <f>IF(VLOOKUP(Patients!A51,Labs!A51:D250,4,0) &gt;120,"High","normal")</f>
        <v>High</v>
      </c>
      <c r="O51" t="str">
        <f t="shared" si="1"/>
        <v>Low Risk</v>
      </c>
    </row>
    <row r="52" spans="1:15" x14ac:dyDescent="0.3">
      <c r="A52">
        <v>51</v>
      </c>
      <c r="B52" t="s">
        <v>61</v>
      </c>
      <c r="C52">
        <v>66</v>
      </c>
      <c r="D52" t="s">
        <v>10</v>
      </c>
      <c r="E52">
        <v>3</v>
      </c>
      <c r="F52">
        <v>45785</v>
      </c>
      <c r="G52">
        <v>45811</v>
      </c>
      <c r="H52">
        <v>3</v>
      </c>
      <c r="I52">
        <v>6662</v>
      </c>
      <c r="J52" t="str">
        <f>VLOOKUP(Patients!E52,Diagnosis!$A$2:$B$11,2,0)</f>
        <v>Heart Disease</v>
      </c>
      <c r="K52" t="str">
        <f>VLOOKUP(Patients!H52,Outcomes!$A$2:$B$4,2,0)</f>
        <v>Deceased</v>
      </c>
      <c r="L52">
        <f t="shared" si="0"/>
        <v>26</v>
      </c>
      <c r="M52" t="str">
        <f>VLOOKUP(A52,Labs!A52:C251,3,0)</f>
        <v>Blood Sugar</v>
      </c>
      <c r="N52" t="str">
        <f>IF(VLOOKUP(Patients!A52,Labs!A52:D251,4,0) &gt;120,"High","normal")</f>
        <v>High</v>
      </c>
      <c r="O52" t="str">
        <f t="shared" si="1"/>
        <v>High Risk</v>
      </c>
    </row>
    <row r="53" spans="1:15" x14ac:dyDescent="0.3">
      <c r="A53">
        <v>52</v>
      </c>
      <c r="B53" t="s">
        <v>62</v>
      </c>
      <c r="C53">
        <v>80</v>
      </c>
      <c r="D53" t="s">
        <v>14</v>
      </c>
      <c r="E53">
        <v>2</v>
      </c>
      <c r="F53">
        <v>45709</v>
      </c>
      <c r="G53">
        <v>45778</v>
      </c>
      <c r="H53">
        <v>1</v>
      </c>
      <c r="I53">
        <v>8514</v>
      </c>
      <c r="J53" t="str">
        <f>VLOOKUP(Patients!E53,Diagnosis!$A$2:$B$11,2,0)</f>
        <v>Diabetes</v>
      </c>
      <c r="K53" t="str">
        <f>VLOOKUP(Patients!H53,Outcomes!$A$2:$B$4,2,0)</f>
        <v>Recovered</v>
      </c>
      <c r="L53">
        <f t="shared" si="0"/>
        <v>69</v>
      </c>
      <c r="M53" t="str">
        <f>VLOOKUP(A53,Labs!A53:C252,3,0)</f>
        <v>Cholesterol</v>
      </c>
      <c r="N53" t="str">
        <f>IF(VLOOKUP(Patients!A53,Labs!A53:D252,4,0) &gt;120,"High","normal")</f>
        <v>High</v>
      </c>
      <c r="O53" t="str">
        <f t="shared" si="1"/>
        <v>High Risk</v>
      </c>
    </row>
    <row r="54" spans="1:15" x14ac:dyDescent="0.3">
      <c r="A54">
        <v>53</v>
      </c>
      <c r="B54" t="s">
        <v>63</v>
      </c>
      <c r="C54">
        <v>36</v>
      </c>
      <c r="D54" t="s">
        <v>14</v>
      </c>
      <c r="E54">
        <v>9</v>
      </c>
      <c r="F54">
        <v>45740</v>
      </c>
      <c r="G54">
        <v>45744</v>
      </c>
      <c r="H54">
        <v>2</v>
      </c>
      <c r="I54">
        <v>7031</v>
      </c>
      <c r="J54" t="str">
        <f>VLOOKUP(Patients!E54,Diagnosis!$A$2:$B$11,2,0)</f>
        <v>Kidney Disease</v>
      </c>
      <c r="K54" t="str">
        <f>VLOOKUP(Patients!H54,Outcomes!$A$2:$B$4,2,0)</f>
        <v>Complicated</v>
      </c>
      <c r="L54">
        <f t="shared" si="0"/>
        <v>4</v>
      </c>
      <c r="M54" t="str">
        <f>VLOOKUP(A54,Labs!A54:C253,3,0)</f>
        <v>Creatinine</v>
      </c>
      <c r="N54" t="str">
        <f>IF(VLOOKUP(Patients!A54,Labs!A54:D253,4,0) &gt;120,"High","normal")</f>
        <v>normal</v>
      </c>
      <c r="O54" t="str">
        <f t="shared" si="1"/>
        <v>High Risk</v>
      </c>
    </row>
    <row r="55" spans="1:15" x14ac:dyDescent="0.3">
      <c r="A55">
        <v>54</v>
      </c>
      <c r="B55" t="s">
        <v>64</v>
      </c>
      <c r="C55">
        <v>50</v>
      </c>
      <c r="D55" t="s">
        <v>14</v>
      </c>
      <c r="E55">
        <v>10</v>
      </c>
      <c r="F55">
        <v>45768</v>
      </c>
      <c r="G55">
        <v>45817</v>
      </c>
      <c r="H55">
        <v>2</v>
      </c>
      <c r="I55">
        <v>8030</v>
      </c>
      <c r="J55" t="str">
        <f>VLOOKUP(Patients!E55,Diagnosis!$A$2:$B$11,2,0)</f>
        <v>Liver Disease</v>
      </c>
      <c r="K55" t="str">
        <f>VLOOKUP(Patients!H55,Outcomes!$A$2:$B$4,2,0)</f>
        <v>Complicated</v>
      </c>
      <c r="L55">
        <f t="shared" si="0"/>
        <v>49</v>
      </c>
      <c r="M55" t="str">
        <f>VLOOKUP(A55,Labs!A55:C254,3,0)</f>
        <v>Blood Sugar</v>
      </c>
      <c r="N55" t="str">
        <f>IF(VLOOKUP(Patients!A55,Labs!A55:D254,4,0) &gt;120,"High","normal")</f>
        <v>High</v>
      </c>
      <c r="O55" t="str">
        <f t="shared" si="1"/>
        <v>High Risk</v>
      </c>
    </row>
    <row r="56" spans="1:15" x14ac:dyDescent="0.3">
      <c r="A56">
        <v>55</v>
      </c>
      <c r="B56" t="s">
        <v>65</v>
      </c>
      <c r="C56">
        <v>38</v>
      </c>
      <c r="D56" t="s">
        <v>14</v>
      </c>
      <c r="E56">
        <v>6</v>
      </c>
      <c r="F56">
        <v>45801</v>
      </c>
      <c r="G56">
        <v>45809</v>
      </c>
      <c r="H56">
        <v>2</v>
      </c>
      <c r="I56">
        <v>4708</v>
      </c>
      <c r="J56" t="str">
        <f>VLOOKUP(Patients!E56,Diagnosis!$A$2:$B$11,2,0)</f>
        <v>COPD</v>
      </c>
      <c r="K56" t="str">
        <f>VLOOKUP(Patients!H56,Outcomes!$A$2:$B$4,2,0)</f>
        <v>Complicated</v>
      </c>
      <c r="L56">
        <f t="shared" si="0"/>
        <v>8</v>
      </c>
      <c r="M56" t="str">
        <f>VLOOKUP(A56,Labs!A56:C255,3,0)</f>
        <v>Hemoglobin</v>
      </c>
      <c r="N56" t="str">
        <f>IF(VLOOKUP(Patients!A56,Labs!A56:D255,4,0) &gt;120,"High","normal")</f>
        <v>High</v>
      </c>
      <c r="O56" t="str">
        <f t="shared" si="1"/>
        <v>High Risk</v>
      </c>
    </row>
    <row r="57" spans="1:15" x14ac:dyDescent="0.3">
      <c r="A57">
        <v>56</v>
      </c>
      <c r="B57" t="s">
        <v>66</v>
      </c>
      <c r="C57">
        <v>68</v>
      </c>
      <c r="D57" t="s">
        <v>10</v>
      </c>
      <c r="E57">
        <v>10</v>
      </c>
      <c r="F57">
        <v>45774</v>
      </c>
      <c r="G57">
        <v>45808</v>
      </c>
      <c r="H57">
        <v>1</v>
      </c>
      <c r="I57">
        <v>5502</v>
      </c>
      <c r="J57" t="str">
        <f>VLOOKUP(Patients!E57,Diagnosis!$A$2:$B$11,2,0)</f>
        <v>Liver Disease</v>
      </c>
      <c r="K57" t="str">
        <f>VLOOKUP(Patients!H57,Outcomes!$A$2:$B$4,2,0)</f>
        <v>Recovered</v>
      </c>
      <c r="L57">
        <f t="shared" si="0"/>
        <v>34</v>
      </c>
      <c r="M57" t="str">
        <f>VLOOKUP(A57,Labs!A57:C256,3,0)</f>
        <v>Vitamin D</v>
      </c>
      <c r="N57" t="str">
        <f>IF(VLOOKUP(Patients!A57,Labs!A57:D256,4,0) &gt;120,"High","normal")</f>
        <v>High</v>
      </c>
      <c r="O57" t="str">
        <f t="shared" si="1"/>
        <v>High Risk</v>
      </c>
    </row>
    <row r="58" spans="1:15" x14ac:dyDescent="0.3">
      <c r="A58">
        <v>57</v>
      </c>
      <c r="B58" t="s">
        <v>67</v>
      </c>
      <c r="C58">
        <v>47</v>
      </c>
      <c r="D58" t="s">
        <v>14</v>
      </c>
      <c r="E58">
        <v>3</v>
      </c>
      <c r="F58">
        <v>45726</v>
      </c>
      <c r="G58">
        <v>45732</v>
      </c>
      <c r="H58">
        <v>2</v>
      </c>
      <c r="I58">
        <v>9112</v>
      </c>
      <c r="J58" t="str">
        <f>VLOOKUP(Patients!E58,Diagnosis!$A$2:$B$11,2,0)</f>
        <v>Heart Disease</v>
      </c>
      <c r="K58" t="str">
        <f>VLOOKUP(Patients!H58,Outcomes!$A$2:$B$4,2,0)</f>
        <v>Complicated</v>
      </c>
      <c r="L58">
        <f t="shared" si="0"/>
        <v>6</v>
      </c>
      <c r="M58" t="str">
        <f>VLOOKUP(A58,Labs!A58:C257,3,0)</f>
        <v>Blood Sugar</v>
      </c>
      <c r="N58" t="str">
        <f>IF(VLOOKUP(Patients!A58,Labs!A58:D257,4,0) &gt;120,"High","normal")</f>
        <v>normal</v>
      </c>
      <c r="O58" t="str">
        <f t="shared" si="1"/>
        <v>High Risk</v>
      </c>
    </row>
    <row r="59" spans="1:15" x14ac:dyDescent="0.3">
      <c r="A59">
        <v>58</v>
      </c>
      <c r="B59" t="s">
        <v>68</v>
      </c>
      <c r="C59">
        <v>33</v>
      </c>
      <c r="D59" t="s">
        <v>10</v>
      </c>
      <c r="E59">
        <v>8</v>
      </c>
      <c r="F59">
        <v>45756</v>
      </c>
      <c r="G59">
        <v>45766</v>
      </c>
      <c r="H59">
        <v>3</v>
      </c>
      <c r="I59">
        <v>3332</v>
      </c>
      <c r="J59" t="str">
        <f>VLOOKUP(Patients!E59,Diagnosis!$A$2:$B$11,2,0)</f>
        <v>Arthritis</v>
      </c>
      <c r="K59" t="str">
        <f>VLOOKUP(Patients!H59,Outcomes!$A$2:$B$4,2,0)</f>
        <v>Deceased</v>
      </c>
      <c r="L59">
        <f t="shared" si="0"/>
        <v>10</v>
      </c>
      <c r="M59" t="str">
        <f>VLOOKUP(A59,Labs!A59:C258,3,0)</f>
        <v>Creatinine</v>
      </c>
      <c r="N59" t="str">
        <f>IF(VLOOKUP(Patients!A59,Labs!A59:D258,4,0) &gt;120,"High","normal")</f>
        <v>High</v>
      </c>
      <c r="O59" t="str">
        <f t="shared" si="1"/>
        <v>High Risk</v>
      </c>
    </row>
    <row r="60" spans="1:15" x14ac:dyDescent="0.3">
      <c r="A60">
        <v>59</v>
      </c>
      <c r="B60" t="s">
        <v>69</v>
      </c>
      <c r="C60">
        <v>54</v>
      </c>
      <c r="D60" t="s">
        <v>14</v>
      </c>
      <c r="E60">
        <v>8</v>
      </c>
      <c r="F60">
        <v>45797</v>
      </c>
      <c r="G60">
        <v>45845</v>
      </c>
      <c r="H60">
        <v>3</v>
      </c>
      <c r="I60">
        <v>9304</v>
      </c>
      <c r="J60" t="str">
        <f>VLOOKUP(Patients!E60,Diagnosis!$A$2:$B$11,2,0)</f>
        <v>Arthritis</v>
      </c>
      <c r="K60" t="str">
        <f>VLOOKUP(Patients!H60,Outcomes!$A$2:$B$4,2,0)</f>
        <v>Deceased</v>
      </c>
      <c r="L60">
        <f t="shared" si="0"/>
        <v>48</v>
      </c>
      <c r="M60" t="str">
        <f>VLOOKUP(A60,Labs!A60:C259,3,0)</f>
        <v>Blood Sugar</v>
      </c>
      <c r="N60" t="str">
        <f>IF(VLOOKUP(Patients!A60,Labs!A60:D259,4,0) &gt;120,"High","normal")</f>
        <v>High</v>
      </c>
      <c r="O60" t="str">
        <f t="shared" si="1"/>
        <v>High Risk</v>
      </c>
    </row>
    <row r="61" spans="1:15" x14ac:dyDescent="0.3">
      <c r="A61">
        <v>60</v>
      </c>
      <c r="B61" t="s">
        <v>70</v>
      </c>
      <c r="C61">
        <v>89</v>
      </c>
      <c r="D61" t="s">
        <v>10</v>
      </c>
      <c r="E61">
        <v>2</v>
      </c>
      <c r="F61">
        <v>45682</v>
      </c>
      <c r="G61">
        <v>45769</v>
      </c>
      <c r="H61">
        <v>1</v>
      </c>
      <c r="I61">
        <v>2201</v>
      </c>
      <c r="J61" t="str">
        <f>VLOOKUP(Patients!E61,Diagnosis!$A$2:$B$11,2,0)</f>
        <v>Diabetes</v>
      </c>
      <c r="K61" t="str">
        <f>VLOOKUP(Patients!H61,Outcomes!$A$2:$B$4,2,0)</f>
        <v>Recovered</v>
      </c>
      <c r="L61">
        <f t="shared" si="0"/>
        <v>87</v>
      </c>
      <c r="M61" t="str">
        <f>VLOOKUP(A61,Labs!A61:C260,3,0)</f>
        <v>Blood Pressure</v>
      </c>
      <c r="N61" t="str">
        <f>IF(VLOOKUP(Patients!A61,Labs!A61:D260,4,0) &gt;120,"High","normal")</f>
        <v>normal</v>
      </c>
      <c r="O61" t="str">
        <f t="shared" si="1"/>
        <v>High Risk</v>
      </c>
    </row>
    <row r="62" spans="1:15" x14ac:dyDescent="0.3">
      <c r="A62">
        <v>61</v>
      </c>
      <c r="B62" t="s">
        <v>71</v>
      </c>
      <c r="C62">
        <v>43</v>
      </c>
      <c r="D62" t="s">
        <v>14</v>
      </c>
      <c r="E62">
        <v>6</v>
      </c>
      <c r="F62">
        <v>45837</v>
      </c>
      <c r="G62">
        <v>45842</v>
      </c>
      <c r="H62">
        <v>3</v>
      </c>
      <c r="I62">
        <v>5507</v>
      </c>
      <c r="J62" t="str">
        <f>VLOOKUP(Patients!E62,Diagnosis!$A$2:$B$11,2,0)</f>
        <v>COPD</v>
      </c>
      <c r="K62" t="str">
        <f>VLOOKUP(Patients!H62,Outcomes!$A$2:$B$4,2,0)</f>
        <v>Deceased</v>
      </c>
      <c r="L62">
        <f t="shared" si="0"/>
        <v>5</v>
      </c>
      <c r="M62" t="str">
        <f>VLOOKUP(A62,Labs!A62:C261,3,0)</f>
        <v>Vitamin D</v>
      </c>
      <c r="N62" t="str">
        <f>IF(VLOOKUP(Patients!A62,Labs!A62:D261,4,0) &gt;120,"High","normal")</f>
        <v>normal</v>
      </c>
      <c r="O62" t="str">
        <f t="shared" si="1"/>
        <v>High Risk</v>
      </c>
    </row>
    <row r="63" spans="1:15" x14ac:dyDescent="0.3">
      <c r="A63">
        <v>62</v>
      </c>
      <c r="B63" t="s">
        <v>72</v>
      </c>
      <c r="C63">
        <v>79</v>
      </c>
      <c r="D63" t="s">
        <v>14</v>
      </c>
      <c r="E63">
        <v>7</v>
      </c>
      <c r="F63">
        <v>45780</v>
      </c>
      <c r="G63">
        <v>45781</v>
      </c>
      <c r="H63">
        <v>3</v>
      </c>
      <c r="I63">
        <v>8456</v>
      </c>
      <c r="J63" t="str">
        <f>VLOOKUP(Patients!E63,Diagnosis!$A$2:$B$11,2,0)</f>
        <v>Cancer</v>
      </c>
      <c r="K63" t="str">
        <f>VLOOKUP(Patients!H63,Outcomes!$A$2:$B$4,2,0)</f>
        <v>Deceased</v>
      </c>
      <c r="L63">
        <f t="shared" si="0"/>
        <v>1</v>
      </c>
      <c r="M63" t="str">
        <f>VLOOKUP(A63,Labs!A63:C262,3,0)</f>
        <v>Creatinine</v>
      </c>
      <c r="N63" t="str">
        <f>IF(VLOOKUP(Patients!A63,Labs!A63:D262,4,0) &gt;120,"High","normal")</f>
        <v>High</v>
      </c>
      <c r="O63" t="str">
        <f t="shared" si="1"/>
        <v>High Risk</v>
      </c>
    </row>
    <row r="64" spans="1:15" x14ac:dyDescent="0.3">
      <c r="A64">
        <v>63</v>
      </c>
      <c r="B64" t="s">
        <v>73</v>
      </c>
      <c r="C64">
        <v>87</v>
      </c>
      <c r="D64" t="s">
        <v>14</v>
      </c>
      <c r="E64">
        <v>2</v>
      </c>
      <c r="F64">
        <v>45710</v>
      </c>
      <c r="G64">
        <v>45716</v>
      </c>
      <c r="H64">
        <v>1</v>
      </c>
      <c r="I64">
        <v>6212</v>
      </c>
      <c r="J64" t="str">
        <f>VLOOKUP(Patients!E64,Diagnosis!$A$2:$B$11,2,0)</f>
        <v>Diabetes</v>
      </c>
      <c r="K64" t="str">
        <f>VLOOKUP(Patients!H64,Outcomes!$A$2:$B$4,2,0)</f>
        <v>Recovered</v>
      </c>
      <c r="L64">
        <f t="shared" si="0"/>
        <v>6</v>
      </c>
      <c r="M64" t="str">
        <f>VLOOKUP(A64,Labs!A64:C263,3,0)</f>
        <v>Creatinine</v>
      </c>
      <c r="N64" t="str">
        <f>IF(VLOOKUP(Patients!A64,Labs!A64:D263,4,0) &gt;120,"High","normal")</f>
        <v>High</v>
      </c>
      <c r="O64" t="str">
        <f t="shared" si="1"/>
        <v>High Risk</v>
      </c>
    </row>
    <row r="65" spans="1:15" x14ac:dyDescent="0.3">
      <c r="A65">
        <v>64</v>
      </c>
      <c r="B65" t="s">
        <v>74</v>
      </c>
      <c r="C65">
        <v>38</v>
      </c>
      <c r="D65" t="s">
        <v>14</v>
      </c>
      <c r="E65">
        <v>10</v>
      </c>
      <c r="F65">
        <v>45808</v>
      </c>
      <c r="G65">
        <v>45811</v>
      </c>
      <c r="H65">
        <v>2</v>
      </c>
      <c r="I65">
        <v>9833</v>
      </c>
      <c r="J65" t="str">
        <f>VLOOKUP(Patients!E65,Diagnosis!$A$2:$B$11,2,0)</f>
        <v>Liver Disease</v>
      </c>
      <c r="K65" t="str">
        <f>VLOOKUP(Patients!H65,Outcomes!$A$2:$B$4,2,0)</f>
        <v>Complicated</v>
      </c>
      <c r="L65">
        <f t="shared" si="0"/>
        <v>3</v>
      </c>
      <c r="M65" t="str">
        <f>VLOOKUP(A65,Labs!A65:C264,3,0)</f>
        <v>Cholesterol</v>
      </c>
      <c r="N65" t="str">
        <f>IF(VLOOKUP(Patients!A65,Labs!A65:D264,4,0) &gt;120,"High","normal")</f>
        <v>normal</v>
      </c>
      <c r="O65" t="str">
        <f t="shared" si="1"/>
        <v>High Risk</v>
      </c>
    </row>
    <row r="66" spans="1:15" x14ac:dyDescent="0.3">
      <c r="A66">
        <v>65</v>
      </c>
      <c r="B66" t="s">
        <v>75</v>
      </c>
      <c r="C66">
        <v>55</v>
      </c>
      <c r="D66" t="s">
        <v>10</v>
      </c>
      <c r="E66">
        <v>2</v>
      </c>
      <c r="F66">
        <v>45801</v>
      </c>
      <c r="G66">
        <v>45808</v>
      </c>
      <c r="H66">
        <v>2</v>
      </c>
      <c r="I66">
        <v>7032</v>
      </c>
      <c r="J66" t="str">
        <f>VLOOKUP(Patients!E66,Diagnosis!$A$2:$B$11,2,0)</f>
        <v>Diabetes</v>
      </c>
      <c r="K66" t="str">
        <f>VLOOKUP(Patients!H66,Outcomes!$A$2:$B$4,2,0)</f>
        <v>Complicated</v>
      </c>
      <c r="L66">
        <f t="shared" si="0"/>
        <v>7</v>
      </c>
      <c r="M66" t="str">
        <f>VLOOKUP(A66,Labs!A66:C265,3,0)</f>
        <v>Hemoglobin</v>
      </c>
      <c r="N66" t="str">
        <f>IF(VLOOKUP(Patients!A66,Labs!A66:D265,4,0) &gt;120,"High","normal")</f>
        <v>High</v>
      </c>
      <c r="O66" t="str">
        <f t="shared" si="1"/>
        <v>High Risk</v>
      </c>
    </row>
    <row r="67" spans="1:15" x14ac:dyDescent="0.3">
      <c r="A67">
        <v>66</v>
      </c>
      <c r="B67" t="s">
        <v>76</v>
      </c>
      <c r="C67">
        <v>82</v>
      </c>
      <c r="D67" t="s">
        <v>14</v>
      </c>
      <c r="E67">
        <v>10</v>
      </c>
      <c r="F67">
        <v>45714</v>
      </c>
      <c r="G67">
        <v>45720</v>
      </c>
      <c r="H67">
        <v>2</v>
      </c>
      <c r="I67">
        <v>9970</v>
      </c>
      <c r="J67" t="str">
        <f>VLOOKUP(Patients!E67,Diagnosis!$A$2:$B$11,2,0)</f>
        <v>Liver Disease</v>
      </c>
      <c r="K67" t="str">
        <f>VLOOKUP(Patients!H67,Outcomes!$A$2:$B$4,2,0)</f>
        <v>Complicated</v>
      </c>
      <c r="L67">
        <f t="shared" ref="L67:L130" si="2">DATEDIF(F67,G67,"d")</f>
        <v>6</v>
      </c>
      <c r="M67" t="str">
        <f>VLOOKUP(A67,Labs!A67:C266,3,0)</f>
        <v>Cholesterol</v>
      </c>
      <c r="N67" t="str">
        <f>IF(VLOOKUP(Patients!A67,Labs!A67:D266,4,0) &gt;120,"High","normal")</f>
        <v>normal</v>
      </c>
      <c r="O67" t="str">
        <f t="shared" ref="O67:O130" si="3">IF(OR(C67&gt;65,H67&gt;1),"High Risk","Low Risk")</f>
        <v>High Risk</v>
      </c>
    </row>
    <row r="68" spans="1:15" x14ac:dyDescent="0.3">
      <c r="A68">
        <v>67</v>
      </c>
      <c r="B68" t="s">
        <v>77</v>
      </c>
      <c r="C68">
        <v>31</v>
      </c>
      <c r="D68" t="s">
        <v>10</v>
      </c>
      <c r="E68">
        <v>1</v>
      </c>
      <c r="F68">
        <v>45696</v>
      </c>
      <c r="G68">
        <v>45745</v>
      </c>
      <c r="H68">
        <v>1</v>
      </c>
      <c r="I68">
        <v>2574</v>
      </c>
      <c r="J68" t="str">
        <f>VLOOKUP(Patients!E68,Diagnosis!$A$2:$B$11,2,0)</f>
        <v>Hypertension</v>
      </c>
      <c r="K68" t="str">
        <f>VLOOKUP(Patients!H68,Outcomes!$A$2:$B$4,2,0)</f>
        <v>Recovered</v>
      </c>
      <c r="L68">
        <f t="shared" si="2"/>
        <v>49</v>
      </c>
      <c r="M68" t="str">
        <f>VLOOKUP(A68,Labs!A68:C267,3,0)</f>
        <v>Creatinine</v>
      </c>
      <c r="N68" t="str">
        <f>IF(VLOOKUP(Patients!A68,Labs!A68:D267,4,0) &gt;120,"High","normal")</f>
        <v>High</v>
      </c>
      <c r="O68" t="str">
        <f t="shared" si="3"/>
        <v>Low Risk</v>
      </c>
    </row>
    <row r="69" spans="1:15" x14ac:dyDescent="0.3">
      <c r="A69">
        <v>68</v>
      </c>
      <c r="B69" t="s">
        <v>78</v>
      </c>
      <c r="C69">
        <v>49</v>
      </c>
      <c r="D69" t="s">
        <v>10</v>
      </c>
      <c r="E69">
        <v>8</v>
      </c>
      <c r="F69">
        <v>45766</v>
      </c>
      <c r="G69">
        <v>45771</v>
      </c>
      <c r="H69">
        <v>3</v>
      </c>
      <c r="I69">
        <v>8387</v>
      </c>
      <c r="J69" t="str">
        <f>VLOOKUP(Patients!E69,Diagnosis!$A$2:$B$11,2,0)</f>
        <v>Arthritis</v>
      </c>
      <c r="K69" t="str">
        <f>VLOOKUP(Patients!H69,Outcomes!$A$2:$B$4,2,0)</f>
        <v>Deceased</v>
      </c>
      <c r="L69">
        <f t="shared" si="2"/>
        <v>5</v>
      </c>
      <c r="M69" t="str">
        <f>VLOOKUP(A69,Labs!A69:C268,3,0)</f>
        <v>Vitamin D</v>
      </c>
      <c r="N69" t="str">
        <f>IF(VLOOKUP(Patients!A69,Labs!A69:D268,4,0) &gt;120,"High","normal")</f>
        <v>High</v>
      </c>
      <c r="O69" t="str">
        <f t="shared" si="3"/>
        <v>High Risk</v>
      </c>
    </row>
    <row r="70" spans="1:15" x14ac:dyDescent="0.3">
      <c r="A70">
        <v>69</v>
      </c>
      <c r="B70" t="s">
        <v>79</v>
      </c>
      <c r="C70">
        <v>57</v>
      </c>
      <c r="D70" t="s">
        <v>10</v>
      </c>
      <c r="E70">
        <v>1</v>
      </c>
      <c r="F70">
        <v>45838</v>
      </c>
      <c r="G70">
        <v>45845</v>
      </c>
      <c r="H70">
        <v>2</v>
      </c>
      <c r="I70">
        <v>2536</v>
      </c>
      <c r="J70" t="str">
        <f>VLOOKUP(Patients!E70,Diagnosis!$A$2:$B$11,2,0)</f>
        <v>Hypertension</v>
      </c>
      <c r="K70" t="str">
        <f>VLOOKUP(Patients!H70,Outcomes!$A$2:$B$4,2,0)</f>
        <v>Complicated</v>
      </c>
      <c r="L70">
        <f t="shared" si="2"/>
        <v>7</v>
      </c>
      <c r="M70" t="str">
        <f>VLOOKUP(A70,Labs!A70:C269,3,0)</f>
        <v>Blood Sugar</v>
      </c>
      <c r="N70" t="str">
        <f>IF(VLOOKUP(Patients!A70,Labs!A70:D269,4,0) &gt;120,"High","normal")</f>
        <v>High</v>
      </c>
      <c r="O70" t="str">
        <f t="shared" si="3"/>
        <v>High Risk</v>
      </c>
    </row>
    <row r="71" spans="1:15" x14ac:dyDescent="0.3">
      <c r="A71">
        <v>70</v>
      </c>
      <c r="B71" t="s">
        <v>80</v>
      </c>
      <c r="C71">
        <v>76</v>
      </c>
      <c r="D71" t="s">
        <v>10</v>
      </c>
      <c r="E71">
        <v>9</v>
      </c>
      <c r="F71">
        <v>45699</v>
      </c>
      <c r="G71">
        <v>45718</v>
      </c>
      <c r="H71">
        <v>2</v>
      </c>
      <c r="I71">
        <v>3625</v>
      </c>
      <c r="J71" t="str">
        <f>VLOOKUP(Patients!E71,Diagnosis!$A$2:$B$11,2,0)</f>
        <v>Kidney Disease</v>
      </c>
      <c r="K71" t="str">
        <f>VLOOKUP(Patients!H71,Outcomes!$A$2:$B$4,2,0)</f>
        <v>Complicated</v>
      </c>
      <c r="L71">
        <f t="shared" si="2"/>
        <v>19</v>
      </c>
      <c r="M71" t="str">
        <f>VLOOKUP(A71,Labs!A71:C270,3,0)</f>
        <v>Blood Sugar</v>
      </c>
      <c r="N71" t="str">
        <f>IF(VLOOKUP(Patients!A71,Labs!A71:D270,4,0) &gt;120,"High","normal")</f>
        <v>High</v>
      </c>
      <c r="O71" t="str">
        <f t="shared" si="3"/>
        <v>High Risk</v>
      </c>
    </row>
    <row r="72" spans="1:15" x14ac:dyDescent="0.3">
      <c r="A72">
        <v>71</v>
      </c>
      <c r="B72" t="s">
        <v>81</v>
      </c>
      <c r="C72">
        <v>89</v>
      </c>
      <c r="D72" t="s">
        <v>14</v>
      </c>
      <c r="E72">
        <v>6</v>
      </c>
      <c r="F72">
        <v>45824</v>
      </c>
      <c r="G72">
        <v>45832</v>
      </c>
      <c r="H72">
        <v>1</v>
      </c>
      <c r="I72">
        <v>4122</v>
      </c>
      <c r="J72" t="str">
        <f>VLOOKUP(Patients!E72,Diagnosis!$A$2:$B$11,2,0)</f>
        <v>COPD</v>
      </c>
      <c r="K72" t="str">
        <f>VLOOKUP(Patients!H72,Outcomes!$A$2:$B$4,2,0)</f>
        <v>Recovered</v>
      </c>
      <c r="L72">
        <f t="shared" si="2"/>
        <v>8</v>
      </c>
      <c r="M72" t="str">
        <f>VLOOKUP(A72,Labs!A72:C271,3,0)</f>
        <v>Vitamin D</v>
      </c>
      <c r="N72" t="str">
        <f>IF(VLOOKUP(Patients!A72,Labs!A72:D271,4,0) &gt;120,"High","normal")</f>
        <v>High</v>
      </c>
      <c r="O72" t="str">
        <f t="shared" si="3"/>
        <v>High Risk</v>
      </c>
    </row>
    <row r="73" spans="1:15" x14ac:dyDescent="0.3">
      <c r="A73">
        <v>72</v>
      </c>
      <c r="B73" t="s">
        <v>82</v>
      </c>
      <c r="C73">
        <v>36</v>
      </c>
      <c r="D73" t="s">
        <v>10</v>
      </c>
      <c r="E73">
        <v>7</v>
      </c>
      <c r="F73">
        <v>45799</v>
      </c>
      <c r="G73">
        <v>45802</v>
      </c>
      <c r="H73">
        <v>2</v>
      </c>
      <c r="I73">
        <v>9973</v>
      </c>
      <c r="J73" t="str">
        <f>VLOOKUP(Patients!E73,Diagnosis!$A$2:$B$11,2,0)</f>
        <v>Cancer</v>
      </c>
      <c r="K73" t="str">
        <f>VLOOKUP(Patients!H73,Outcomes!$A$2:$B$4,2,0)</f>
        <v>Complicated</v>
      </c>
      <c r="L73">
        <f t="shared" si="2"/>
        <v>3</v>
      </c>
      <c r="M73" t="str">
        <f>VLOOKUP(A73,Labs!A73:C272,3,0)</f>
        <v>Creatinine</v>
      </c>
      <c r="N73" t="str">
        <f>IF(VLOOKUP(Patients!A73,Labs!A73:D272,4,0) &gt;120,"High","normal")</f>
        <v>normal</v>
      </c>
      <c r="O73" t="str">
        <f t="shared" si="3"/>
        <v>High Risk</v>
      </c>
    </row>
    <row r="74" spans="1:15" x14ac:dyDescent="0.3">
      <c r="A74">
        <v>73</v>
      </c>
      <c r="B74" t="s">
        <v>83</v>
      </c>
      <c r="C74">
        <v>73</v>
      </c>
      <c r="D74" t="s">
        <v>10</v>
      </c>
      <c r="E74">
        <v>10</v>
      </c>
      <c r="F74">
        <v>45779</v>
      </c>
      <c r="G74">
        <v>45783</v>
      </c>
      <c r="H74">
        <v>1</v>
      </c>
      <c r="I74">
        <v>2385</v>
      </c>
      <c r="J74" t="str">
        <f>VLOOKUP(Patients!E74,Diagnosis!$A$2:$B$11,2,0)</f>
        <v>Liver Disease</v>
      </c>
      <c r="K74" t="str">
        <f>VLOOKUP(Patients!H74,Outcomes!$A$2:$B$4,2,0)</f>
        <v>Recovered</v>
      </c>
      <c r="L74">
        <f t="shared" si="2"/>
        <v>4</v>
      </c>
      <c r="M74" t="str">
        <f>VLOOKUP(A74,Labs!A74:C273,3,0)</f>
        <v>Blood Sugar</v>
      </c>
      <c r="N74" t="str">
        <f>IF(VLOOKUP(Patients!A74,Labs!A74:D273,4,0) &gt;120,"High","normal")</f>
        <v>High</v>
      </c>
      <c r="O74" t="str">
        <f t="shared" si="3"/>
        <v>High Risk</v>
      </c>
    </row>
    <row r="75" spans="1:15" x14ac:dyDescent="0.3">
      <c r="A75">
        <v>74</v>
      </c>
      <c r="B75" t="s">
        <v>84</v>
      </c>
      <c r="C75">
        <v>37</v>
      </c>
      <c r="D75" t="s">
        <v>10</v>
      </c>
      <c r="E75">
        <v>7</v>
      </c>
      <c r="F75">
        <v>45790</v>
      </c>
      <c r="G75">
        <v>45796</v>
      </c>
      <c r="H75">
        <v>3</v>
      </c>
      <c r="I75">
        <v>5281</v>
      </c>
      <c r="J75" t="str">
        <f>VLOOKUP(Patients!E75,Diagnosis!$A$2:$B$11,2,0)</f>
        <v>Cancer</v>
      </c>
      <c r="K75" t="str">
        <f>VLOOKUP(Patients!H75,Outcomes!$A$2:$B$4,2,0)</f>
        <v>Deceased</v>
      </c>
      <c r="L75">
        <f t="shared" si="2"/>
        <v>6</v>
      </c>
      <c r="M75" t="str">
        <f>VLOOKUP(A75,Labs!A75:C274,3,0)</f>
        <v>Blood Sugar</v>
      </c>
      <c r="N75" t="str">
        <f>IF(VLOOKUP(Patients!A75,Labs!A75:D274,4,0) &gt;120,"High","normal")</f>
        <v>High</v>
      </c>
      <c r="O75" t="str">
        <f t="shared" si="3"/>
        <v>High Risk</v>
      </c>
    </row>
    <row r="76" spans="1:15" x14ac:dyDescent="0.3">
      <c r="A76">
        <v>75</v>
      </c>
      <c r="B76" t="s">
        <v>85</v>
      </c>
      <c r="C76">
        <v>76</v>
      </c>
      <c r="D76" t="s">
        <v>14</v>
      </c>
      <c r="E76">
        <v>10</v>
      </c>
      <c r="F76">
        <v>45820</v>
      </c>
      <c r="G76">
        <v>45822</v>
      </c>
      <c r="H76">
        <v>1</v>
      </c>
      <c r="I76">
        <v>2474</v>
      </c>
      <c r="J76" t="str">
        <f>VLOOKUP(Patients!E76,Diagnosis!$A$2:$B$11,2,0)</f>
        <v>Liver Disease</v>
      </c>
      <c r="K76" t="str">
        <f>VLOOKUP(Patients!H76,Outcomes!$A$2:$B$4,2,0)</f>
        <v>Recovered</v>
      </c>
      <c r="L76">
        <f t="shared" si="2"/>
        <v>2</v>
      </c>
      <c r="M76" t="str">
        <f>VLOOKUP(A76,Labs!A76:C275,3,0)</f>
        <v>Blood Sugar</v>
      </c>
      <c r="N76" t="str">
        <f>IF(VLOOKUP(Patients!A76,Labs!A76:D275,4,0) &gt;120,"High","normal")</f>
        <v>High</v>
      </c>
      <c r="O76" t="str">
        <f t="shared" si="3"/>
        <v>High Risk</v>
      </c>
    </row>
    <row r="77" spans="1:15" x14ac:dyDescent="0.3">
      <c r="A77">
        <v>76</v>
      </c>
      <c r="B77" t="s">
        <v>86</v>
      </c>
      <c r="C77">
        <v>64</v>
      </c>
      <c r="D77" t="s">
        <v>14</v>
      </c>
      <c r="E77">
        <v>3</v>
      </c>
      <c r="F77">
        <v>45732</v>
      </c>
      <c r="G77">
        <v>45747</v>
      </c>
      <c r="H77">
        <v>1</v>
      </c>
      <c r="I77">
        <v>2417</v>
      </c>
      <c r="J77" t="str">
        <f>VLOOKUP(Patients!E77,Diagnosis!$A$2:$B$11,2,0)</f>
        <v>Heart Disease</v>
      </c>
      <c r="K77" t="str">
        <f>VLOOKUP(Patients!H77,Outcomes!$A$2:$B$4,2,0)</f>
        <v>Recovered</v>
      </c>
      <c r="L77">
        <f t="shared" si="2"/>
        <v>15</v>
      </c>
      <c r="M77" t="str">
        <f>VLOOKUP(A77,Labs!A77:C276,3,0)</f>
        <v>Hemoglobin</v>
      </c>
      <c r="N77" t="str">
        <f>IF(VLOOKUP(Patients!A77,Labs!A77:D276,4,0) &gt;120,"High","normal")</f>
        <v>normal</v>
      </c>
      <c r="O77" t="str">
        <f t="shared" si="3"/>
        <v>Low Risk</v>
      </c>
    </row>
    <row r="78" spans="1:15" x14ac:dyDescent="0.3">
      <c r="A78">
        <v>77</v>
      </c>
      <c r="B78" t="s">
        <v>87</v>
      </c>
      <c r="C78">
        <v>43</v>
      </c>
      <c r="D78" t="s">
        <v>14</v>
      </c>
      <c r="E78">
        <v>2</v>
      </c>
      <c r="F78">
        <v>45803</v>
      </c>
      <c r="G78">
        <v>45805</v>
      </c>
      <c r="H78">
        <v>1</v>
      </c>
      <c r="I78">
        <v>8490</v>
      </c>
      <c r="J78" t="str">
        <f>VLOOKUP(Patients!E78,Diagnosis!$A$2:$B$11,2,0)</f>
        <v>Diabetes</v>
      </c>
      <c r="K78" t="str">
        <f>VLOOKUP(Patients!H78,Outcomes!$A$2:$B$4,2,0)</f>
        <v>Recovered</v>
      </c>
      <c r="L78">
        <f t="shared" si="2"/>
        <v>2</v>
      </c>
      <c r="M78" t="str">
        <f>VLOOKUP(A78,Labs!A78:C277,3,0)</f>
        <v>Hemoglobin</v>
      </c>
      <c r="N78" t="str">
        <f>IF(VLOOKUP(Patients!A78,Labs!A78:D277,4,0) &gt;120,"High","normal")</f>
        <v>normal</v>
      </c>
      <c r="O78" t="str">
        <f t="shared" si="3"/>
        <v>Low Risk</v>
      </c>
    </row>
    <row r="79" spans="1:15" x14ac:dyDescent="0.3">
      <c r="A79">
        <v>78</v>
      </c>
      <c r="B79" t="s">
        <v>88</v>
      </c>
      <c r="C79">
        <v>46</v>
      </c>
      <c r="D79" t="s">
        <v>14</v>
      </c>
      <c r="E79">
        <v>9</v>
      </c>
      <c r="F79">
        <v>45733</v>
      </c>
      <c r="G79">
        <v>45740</v>
      </c>
      <c r="H79">
        <v>1</v>
      </c>
      <c r="I79">
        <v>5600</v>
      </c>
      <c r="J79" t="str">
        <f>VLOOKUP(Patients!E79,Diagnosis!$A$2:$B$11,2,0)</f>
        <v>Kidney Disease</v>
      </c>
      <c r="K79" t="str">
        <f>VLOOKUP(Patients!H79,Outcomes!$A$2:$B$4,2,0)</f>
        <v>Recovered</v>
      </c>
      <c r="L79">
        <f t="shared" si="2"/>
        <v>7</v>
      </c>
      <c r="M79" t="str">
        <f>VLOOKUP(A79,Labs!A79:C278,3,0)</f>
        <v>Blood Pressure</v>
      </c>
      <c r="N79" t="str">
        <f>IF(VLOOKUP(Patients!A79,Labs!A79:D278,4,0) &gt;120,"High","normal")</f>
        <v>normal</v>
      </c>
      <c r="O79" t="str">
        <f t="shared" si="3"/>
        <v>Low Risk</v>
      </c>
    </row>
    <row r="80" spans="1:15" x14ac:dyDescent="0.3">
      <c r="A80">
        <v>79</v>
      </c>
      <c r="B80" t="s">
        <v>89</v>
      </c>
      <c r="C80">
        <v>65</v>
      </c>
      <c r="D80" t="s">
        <v>10</v>
      </c>
      <c r="E80">
        <v>8</v>
      </c>
      <c r="F80">
        <v>45666</v>
      </c>
      <c r="G80">
        <v>45798</v>
      </c>
      <c r="H80">
        <v>3</v>
      </c>
      <c r="I80">
        <v>8783</v>
      </c>
      <c r="J80" t="str">
        <f>VLOOKUP(Patients!E80,Diagnosis!$A$2:$B$11,2,0)</f>
        <v>Arthritis</v>
      </c>
      <c r="K80" t="str">
        <f>VLOOKUP(Patients!H80,Outcomes!$A$2:$B$4,2,0)</f>
        <v>Deceased</v>
      </c>
      <c r="L80">
        <f t="shared" si="2"/>
        <v>132</v>
      </c>
      <c r="M80" t="str">
        <f>VLOOKUP(A80,Labs!A80:C279,3,0)</f>
        <v>Cholesterol</v>
      </c>
      <c r="N80" t="str">
        <f>IF(VLOOKUP(Patients!A80,Labs!A80:D279,4,0) &gt;120,"High","normal")</f>
        <v>High</v>
      </c>
      <c r="O80" t="str">
        <f t="shared" si="3"/>
        <v>High Risk</v>
      </c>
    </row>
    <row r="81" spans="1:15" x14ac:dyDescent="0.3">
      <c r="A81">
        <v>80</v>
      </c>
      <c r="B81" t="s">
        <v>90</v>
      </c>
      <c r="C81">
        <v>79</v>
      </c>
      <c r="D81" t="s">
        <v>10</v>
      </c>
      <c r="E81">
        <v>10</v>
      </c>
      <c r="F81">
        <v>45731</v>
      </c>
      <c r="G81">
        <v>45804</v>
      </c>
      <c r="H81">
        <v>3</v>
      </c>
      <c r="I81">
        <v>7034</v>
      </c>
      <c r="J81" t="str">
        <f>VLOOKUP(Patients!E81,Diagnosis!$A$2:$B$11,2,0)</f>
        <v>Liver Disease</v>
      </c>
      <c r="K81" t="str">
        <f>VLOOKUP(Patients!H81,Outcomes!$A$2:$B$4,2,0)</f>
        <v>Deceased</v>
      </c>
      <c r="L81">
        <f t="shared" si="2"/>
        <v>73</v>
      </c>
      <c r="M81" t="str">
        <f>VLOOKUP(A81,Labs!A81:C280,3,0)</f>
        <v>Vitamin D</v>
      </c>
      <c r="N81" t="str">
        <f>IF(VLOOKUP(Patients!A81,Labs!A81:D280,4,0) &gt;120,"High","normal")</f>
        <v>High</v>
      </c>
      <c r="O81" t="str">
        <f t="shared" si="3"/>
        <v>High Risk</v>
      </c>
    </row>
    <row r="82" spans="1:15" x14ac:dyDescent="0.3">
      <c r="A82">
        <v>81</v>
      </c>
      <c r="B82" t="s">
        <v>91</v>
      </c>
      <c r="C82">
        <v>69</v>
      </c>
      <c r="D82" t="s">
        <v>14</v>
      </c>
      <c r="E82">
        <v>7</v>
      </c>
      <c r="F82">
        <v>45802</v>
      </c>
      <c r="G82">
        <v>45811</v>
      </c>
      <c r="H82">
        <v>2</v>
      </c>
      <c r="I82">
        <v>2954</v>
      </c>
      <c r="J82" t="str">
        <f>VLOOKUP(Patients!E82,Diagnosis!$A$2:$B$11,2,0)</f>
        <v>Cancer</v>
      </c>
      <c r="K82" t="str">
        <f>VLOOKUP(Patients!H82,Outcomes!$A$2:$B$4,2,0)</f>
        <v>Complicated</v>
      </c>
      <c r="L82">
        <f t="shared" si="2"/>
        <v>9</v>
      </c>
      <c r="M82" t="str">
        <f>VLOOKUP(A82,Labs!A82:C281,3,0)</f>
        <v>Vitamin D</v>
      </c>
      <c r="N82" t="str">
        <f>IF(VLOOKUP(Patients!A82,Labs!A82:D281,4,0) &gt;120,"High","normal")</f>
        <v>High</v>
      </c>
      <c r="O82" t="str">
        <f t="shared" si="3"/>
        <v>High Risk</v>
      </c>
    </row>
    <row r="83" spans="1:15" x14ac:dyDescent="0.3">
      <c r="A83">
        <v>82</v>
      </c>
      <c r="B83" t="s">
        <v>92</v>
      </c>
      <c r="C83">
        <v>33</v>
      </c>
      <c r="D83" t="s">
        <v>10</v>
      </c>
      <c r="E83">
        <v>9</v>
      </c>
      <c r="F83">
        <v>45664</v>
      </c>
      <c r="G83">
        <v>45740</v>
      </c>
      <c r="H83">
        <v>3</v>
      </c>
      <c r="I83">
        <v>6971</v>
      </c>
      <c r="J83" t="str">
        <f>VLOOKUP(Patients!E83,Diagnosis!$A$2:$B$11,2,0)</f>
        <v>Kidney Disease</v>
      </c>
      <c r="K83" t="str">
        <f>VLOOKUP(Patients!H83,Outcomes!$A$2:$B$4,2,0)</f>
        <v>Deceased</v>
      </c>
      <c r="L83">
        <f t="shared" si="2"/>
        <v>76</v>
      </c>
      <c r="M83" t="str">
        <f>VLOOKUP(A83,Labs!A83:C282,3,0)</f>
        <v>Vitamin D</v>
      </c>
      <c r="N83" t="str">
        <f>IF(VLOOKUP(Patients!A83,Labs!A83:D282,4,0) &gt;120,"High","normal")</f>
        <v>High</v>
      </c>
      <c r="O83" t="str">
        <f t="shared" si="3"/>
        <v>High Risk</v>
      </c>
    </row>
    <row r="84" spans="1:15" x14ac:dyDescent="0.3">
      <c r="A84">
        <v>83</v>
      </c>
      <c r="B84" t="s">
        <v>93</v>
      </c>
      <c r="C84">
        <v>31</v>
      </c>
      <c r="D84" t="s">
        <v>10</v>
      </c>
      <c r="E84">
        <v>4</v>
      </c>
      <c r="F84">
        <v>45831</v>
      </c>
      <c r="G84">
        <v>45833</v>
      </c>
      <c r="H84">
        <v>3</v>
      </c>
      <c r="I84">
        <v>6858</v>
      </c>
      <c r="J84" t="str">
        <f>VLOOKUP(Patients!E84,Diagnosis!$A$2:$B$11,2,0)</f>
        <v>Asthma</v>
      </c>
      <c r="K84" t="str">
        <f>VLOOKUP(Patients!H84,Outcomes!$A$2:$B$4,2,0)</f>
        <v>Deceased</v>
      </c>
      <c r="L84">
        <f t="shared" si="2"/>
        <v>2</v>
      </c>
      <c r="M84" t="str">
        <f>VLOOKUP(A84,Labs!A84:C283,3,0)</f>
        <v>Blood Pressure</v>
      </c>
      <c r="N84" t="str">
        <f>IF(VLOOKUP(Patients!A84,Labs!A84:D283,4,0) &gt;120,"High","normal")</f>
        <v>High</v>
      </c>
      <c r="O84" t="str">
        <f t="shared" si="3"/>
        <v>High Risk</v>
      </c>
    </row>
    <row r="85" spans="1:15" x14ac:dyDescent="0.3">
      <c r="A85">
        <v>84</v>
      </c>
      <c r="B85" t="s">
        <v>94</v>
      </c>
      <c r="C85">
        <v>35</v>
      </c>
      <c r="D85" t="s">
        <v>10</v>
      </c>
      <c r="E85">
        <v>4</v>
      </c>
      <c r="F85">
        <v>45798</v>
      </c>
      <c r="G85">
        <v>45804</v>
      </c>
      <c r="H85">
        <v>2</v>
      </c>
      <c r="I85">
        <v>7298</v>
      </c>
      <c r="J85" t="str">
        <f>VLOOKUP(Patients!E85,Diagnosis!$A$2:$B$11,2,0)</f>
        <v>Asthma</v>
      </c>
      <c r="K85" t="str">
        <f>VLOOKUP(Patients!H85,Outcomes!$A$2:$B$4,2,0)</f>
        <v>Complicated</v>
      </c>
      <c r="L85">
        <f t="shared" si="2"/>
        <v>6</v>
      </c>
      <c r="M85" t="str">
        <f>VLOOKUP(A85,Labs!A85:C284,3,0)</f>
        <v>Hemoglobin</v>
      </c>
      <c r="N85" t="str">
        <f>IF(VLOOKUP(Patients!A85,Labs!A85:D284,4,0) &gt;120,"High","normal")</f>
        <v>normal</v>
      </c>
      <c r="O85" t="str">
        <f t="shared" si="3"/>
        <v>High Risk</v>
      </c>
    </row>
    <row r="86" spans="1:15" x14ac:dyDescent="0.3">
      <c r="A86">
        <v>85</v>
      </c>
      <c r="B86" t="s">
        <v>95</v>
      </c>
      <c r="C86">
        <v>83</v>
      </c>
      <c r="D86" t="s">
        <v>14</v>
      </c>
      <c r="E86">
        <v>1</v>
      </c>
      <c r="F86">
        <v>45825</v>
      </c>
      <c r="G86">
        <v>45831</v>
      </c>
      <c r="H86">
        <v>3</v>
      </c>
      <c r="I86">
        <v>3205</v>
      </c>
      <c r="J86" t="str">
        <f>VLOOKUP(Patients!E86,Diagnosis!$A$2:$B$11,2,0)</f>
        <v>Hypertension</v>
      </c>
      <c r="K86" t="str">
        <f>VLOOKUP(Patients!H86,Outcomes!$A$2:$B$4,2,0)</f>
        <v>Deceased</v>
      </c>
      <c r="L86">
        <f t="shared" si="2"/>
        <v>6</v>
      </c>
      <c r="M86" t="str">
        <f>VLOOKUP(A86,Labs!A86:C285,3,0)</f>
        <v>Creatinine</v>
      </c>
      <c r="N86" t="str">
        <f>IF(VLOOKUP(Patients!A86,Labs!A86:D285,4,0) &gt;120,"High","normal")</f>
        <v>High</v>
      </c>
      <c r="O86" t="str">
        <f t="shared" si="3"/>
        <v>High Risk</v>
      </c>
    </row>
    <row r="87" spans="1:15" x14ac:dyDescent="0.3">
      <c r="A87">
        <v>86</v>
      </c>
      <c r="B87" t="s">
        <v>96</v>
      </c>
      <c r="C87">
        <v>71</v>
      </c>
      <c r="D87" t="s">
        <v>14</v>
      </c>
      <c r="E87">
        <v>8</v>
      </c>
      <c r="F87">
        <v>45827</v>
      </c>
      <c r="G87">
        <v>45837</v>
      </c>
      <c r="H87">
        <v>1</v>
      </c>
      <c r="I87">
        <v>6759</v>
      </c>
      <c r="J87" t="str">
        <f>VLOOKUP(Patients!E87,Diagnosis!$A$2:$B$11,2,0)</f>
        <v>Arthritis</v>
      </c>
      <c r="K87" t="str">
        <f>VLOOKUP(Patients!H87,Outcomes!$A$2:$B$4,2,0)</f>
        <v>Recovered</v>
      </c>
      <c r="L87">
        <f t="shared" si="2"/>
        <v>10</v>
      </c>
      <c r="M87" t="str">
        <f>VLOOKUP(A87,Labs!A87:C286,3,0)</f>
        <v>Creatinine</v>
      </c>
      <c r="N87" t="str">
        <f>IF(VLOOKUP(Patients!A87,Labs!A87:D286,4,0) &gt;120,"High","normal")</f>
        <v>High</v>
      </c>
      <c r="O87" t="str">
        <f t="shared" si="3"/>
        <v>High Risk</v>
      </c>
    </row>
    <row r="88" spans="1:15" x14ac:dyDescent="0.3">
      <c r="A88">
        <v>87</v>
      </c>
      <c r="B88" t="s">
        <v>97</v>
      </c>
      <c r="C88">
        <v>33</v>
      </c>
      <c r="D88" t="s">
        <v>10</v>
      </c>
      <c r="E88">
        <v>3</v>
      </c>
      <c r="F88">
        <v>45794</v>
      </c>
      <c r="G88">
        <v>45799</v>
      </c>
      <c r="H88">
        <v>1</v>
      </c>
      <c r="I88">
        <v>6120</v>
      </c>
      <c r="J88" t="str">
        <f>VLOOKUP(Patients!E88,Diagnosis!$A$2:$B$11,2,0)</f>
        <v>Heart Disease</v>
      </c>
      <c r="K88" t="str">
        <f>VLOOKUP(Patients!H88,Outcomes!$A$2:$B$4,2,0)</f>
        <v>Recovered</v>
      </c>
      <c r="L88">
        <f t="shared" si="2"/>
        <v>5</v>
      </c>
      <c r="M88" t="str">
        <f>VLOOKUP(A88,Labs!A88:C287,3,0)</f>
        <v>Blood Pressure</v>
      </c>
      <c r="N88" t="str">
        <f>IF(VLOOKUP(Patients!A88,Labs!A88:D287,4,0) &gt;120,"High","normal")</f>
        <v>High</v>
      </c>
      <c r="O88" t="str">
        <f t="shared" si="3"/>
        <v>Low Risk</v>
      </c>
    </row>
    <row r="89" spans="1:15" x14ac:dyDescent="0.3">
      <c r="A89">
        <v>88</v>
      </c>
      <c r="B89" t="s">
        <v>98</v>
      </c>
      <c r="C89">
        <v>83</v>
      </c>
      <c r="D89" t="s">
        <v>14</v>
      </c>
      <c r="E89">
        <v>7</v>
      </c>
      <c r="F89">
        <v>45835</v>
      </c>
      <c r="G89">
        <v>45836</v>
      </c>
      <c r="H89">
        <v>2</v>
      </c>
      <c r="I89">
        <v>3990</v>
      </c>
      <c r="J89" t="str">
        <f>VLOOKUP(Patients!E89,Diagnosis!$A$2:$B$11,2,0)</f>
        <v>Cancer</v>
      </c>
      <c r="K89" t="str">
        <f>VLOOKUP(Patients!H89,Outcomes!$A$2:$B$4,2,0)</f>
        <v>Complicated</v>
      </c>
      <c r="L89">
        <f t="shared" si="2"/>
        <v>1</v>
      </c>
      <c r="M89" t="str">
        <f>VLOOKUP(A89,Labs!A89:C288,3,0)</f>
        <v>Creatinine</v>
      </c>
      <c r="N89" t="str">
        <f>IF(VLOOKUP(Patients!A89,Labs!A89:D288,4,0) &gt;120,"High","normal")</f>
        <v>High</v>
      </c>
      <c r="O89" t="str">
        <f t="shared" si="3"/>
        <v>High Risk</v>
      </c>
    </row>
    <row r="90" spans="1:15" x14ac:dyDescent="0.3">
      <c r="A90">
        <v>89</v>
      </c>
      <c r="B90" t="s">
        <v>99</v>
      </c>
      <c r="C90">
        <v>58</v>
      </c>
      <c r="D90" t="s">
        <v>14</v>
      </c>
      <c r="E90">
        <v>2</v>
      </c>
      <c r="F90">
        <v>45684</v>
      </c>
      <c r="G90">
        <v>45792</v>
      </c>
      <c r="H90">
        <v>2</v>
      </c>
      <c r="I90">
        <v>7299</v>
      </c>
      <c r="J90" t="str">
        <f>VLOOKUP(Patients!E90,Diagnosis!$A$2:$B$11,2,0)</f>
        <v>Diabetes</v>
      </c>
      <c r="K90" t="str">
        <f>VLOOKUP(Patients!H90,Outcomes!$A$2:$B$4,2,0)</f>
        <v>Complicated</v>
      </c>
      <c r="L90">
        <f t="shared" si="2"/>
        <v>108</v>
      </c>
      <c r="M90" t="str">
        <f>VLOOKUP(A90,Labs!A90:C289,3,0)</f>
        <v>Vitamin D</v>
      </c>
      <c r="N90" t="str">
        <f>IF(VLOOKUP(Patients!A90,Labs!A90:D289,4,0) &gt;120,"High","normal")</f>
        <v>High</v>
      </c>
      <c r="O90" t="str">
        <f t="shared" si="3"/>
        <v>High Risk</v>
      </c>
    </row>
    <row r="91" spans="1:15" x14ac:dyDescent="0.3">
      <c r="A91">
        <v>90</v>
      </c>
      <c r="B91" t="s">
        <v>100</v>
      </c>
      <c r="C91">
        <v>47</v>
      </c>
      <c r="D91" t="s">
        <v>14</v>
      </c>
      <c r="E91">
        <v>2</v>
      </c>
      <c r="F91">
        <v>45779</v>
      </c>
      <c r="G91">
        <v>45787</v>
      </c>
      <c r="H91">
        <v>2</v>
      </c>
      <c r="I91">
        <v>6805</v>
      </c>
      <c r="J91" t="str">
        <f>VLOOKUP(Patients!E91,Diagnosis!$A$2:$B$11,2,0)</f>
        <v>Diabetes</v>
      </c>
      <c r="K91" t="str">
        <f>VLOOKUP(Patients!H91,Outcomes!$A$2:$B$4,2,0)</f>
        <v>Complicated</v>
      </c>
      <c r="L91">
        <f t="shared" si="2"/>
        <v>8</v>
      </c>
      <c r="M91" t="str">
        <f>VLOOKUP(A91,Labs!A91:C290,3,0)</f>
        <v>Cholesterol</v>
      </c>
      <c r="N91" t="str">
        <f>IF(VLOOKUP(Patients!A91,Labs!A91:D290,4,0) &gt;120,"High","normal")</f>
        <v>High</v>
      </c>
      <c r="O91" t="str">
        <f t="shared" si="3"/>
        <v>High Risk</v>
      </c>
    </row>
    <row r="92" spans="1:15" x14ac:dyDescent="0.3">
      <c r="A92">
        <v>91</v>
      </c>
      <c r="B92" t="s">
        <v>101</v>
      </c>
      <c r="C92">
        <v>55</v>
      </c>
      <c r="D92" t="s">
        <v>14</v>
      </c>
      <c r="E92">
        <v>7</v>
      </c>
      <c r="F92">
        <v>45662</v>
      </c>
      <c r="G92">
        <v>45781</v>
      </c>
      <c r="H92">
        <v>1</v>
      </c>
      <c r="I92">
        <v>5572</v>
      </c>
      <c r="J92" t="str">
        <f>VLOOKUP(Patients!E92,Diagnosis!$A$2:$B$11,2,0)</f>
        <v>Cancer</v>
      </c>
      <c r="K92" t="str">
        <f>VLOOKUP(Patients!H92,Outcomes!$A$2:$B$4,2,0)</f>
        <v>Recovered</v>
      </c>
      <c r="L92">
        <f t="shared" si="2"/>
        <v>119</v>
      </c>
      <c r="M92" t="str">
        <f>VLOOKUP(A92,Labs!A92:C291,3,0)</f>
        <v>Blood Sugar</v>
      </c>
      <c r="N92" t="str">
        <f>IF(VLOOKUP(Patients!A92,Labs!A92:D291,4,0) &gt;120,"High","normal")</f>
        <v>normal</v>
      </c>
      <c r="O92" t="str">
        <f t="shared" si="3"/>
        <v>Low Risk</v>
      </c>
    </row>
    <row r="93" spans="1:15" x14ac:dyDescent="0.3">
      <c r="A93">
        <v>92</v>
      </c>
      <c r="B93" t="s">
        <v>102</v>
      </c>
      <c r="C93">
        <v>73</v>
      </c>
      <c r="D93" t="s">
        <v>14</v>
      </c>
      <c r="E93">
        <v>6</v>
      </c>
      <c r="F93">
        <v>45686</v>
      </c>
      <c r="G93">
        <v>45777</v>
      </c>
      <c r="H93">
        <v>3</v>
      </c>
      <c r="I93">
        <v>7975</v>
      </c>
      <c r="J93" t="str">
        <f>VLOOKUP(Patients!E93,Diagnosis!$A$2:$B$11,2,0)</f>
        <v>COPD</v>
      </c>
      <c r="K93" t="str">
        <f>VLOOKUP(Patients!H93,Outcomes!$A$2:$B$4,2,0)</f>
        <v>Deceased</v>
      </c>
      <c r="L93">
        <f t="shared" si="2"/>
        <v>91</v>
      </c>
      <c r="M93" t="str">
        <f>VLOOKUP(A93,Labs!A93:C292,3,0)</f>
        <v>Hemoglobin</v>
      </c>
      <c r="N93" t="str">
        <f>IF(VLOOKUP(Patients!A93,Labs!A93:D292,4,0) &gt;120,"High","normal")</f>
        <v>normal</v>
      </c>
      <c r="O93" t="str">
        <f t="shared" si="3"/>
        <v>High Risk</v>
      </c>
    </row>
    <row r="94" spans="1:15" x14ac:dyDescent="0.3">
      <c r="A94">
        <v>93</v>
      </c>
      <c r="B94" t="s">
        <v>103</v>
      </c>
      <c r="C94">
        <v>63</v>
      </c>
      <c r="D94" t="s">
        <v>10</v>
      </c>
      <c r="E94">
        <v>3</v>
      </c>
      <c r="F94">
        <v>45822</v>
      </c>
      <c r="G94">
        <v>45831</v>
      </c>
      <c r="H94">
        <v>1</v>
      </c>
      <c r="I94">
        <v>7280</v>
      </c>
      <c r="J94" t="str">
        <f>VLOOKUP(Patients!E94,Diagnosis!$A$2:$B$11,2,0)</f>
        <v>Heart Disease</v>
      </c>
      <c r="K94" t="str">
        <f>VLOOKUP(Patients!H94,Outcomes!$A$2:$B$4,2,0)</f>
        <v>Recovered</v>
      </c>
      <c r="L94">
        <f t="shared" si="2"/>
        <v>9</v>
      </c>
      <c r="M94" t="str">
        <f>VLOOKUP(A94,Labs!A94:C293,3,0)</f>
        <v>Hemoglobin</v>
      </c>
      <c r="N94" t="str">
        <f>IF(VLOOKUP(Patients!A94,Labs!A94:D293,4,0) &gt;120,"High","normal")</f>
        <v>High</v>
      </c>
      <c r="O94" t="str">
        <f t="shared" si="3"/>
        <v>Low Risk</v>
      </c>
    </row>
    <row r="95" spans="1:15" x14ac:dyDescent="0.3">
      <c r="A95">
        <v>94</v>
      </c>
      <c r="B95" t="s">
        <v>104</v>
      </c>
      <c r="C95">
        <v>39</v>
      </c>
      <c r="D95" t="s">
        <v>14</v>
      </c>
      <c r="E95">
        <v>9</v>
      </c>
      <c r="F95">
        <v>45823</v>
      </c>
      <c r="G95">
        <v>45825</v>
      </c>
      <c r="H95">
        <v>2</v>
      </c>
      <c r="I95">
        <v>8320</v>
      </c>
      <c r="J95" t="str">
        <f>VLOOKUP(Patients!E95,Diagnosis!$A$2:$B$11,2,0)</f>
        <v>Kidney Disease</v>
      </c>
      <c r="K95" t="str">
        <f>VLOOKUP(Patients!H95,Outcomes!$A$2:$B$4,2,0)</f>
        <v>Complicated</v>
      </c>
      <c r="L95">
        <f t="shared" si="2"/>
        <v>2</v>
      </c>
      <c r="M95" t="str">
        <f>VLOOKUP(A95,Labs!A95:C294,3,0)</f>
        <v>Blood Pressure</v>
      </c>
      <c r="N95" t="str">
        <f>IF(VLOOKUP(Patients!A95,Labs!A95:D294,4,0) &gt;120,"High","normal")</f>
        <v>High</v>
      </c>
      <c r="O95" t="str">
        <f t="shared" si="3"/>
        <v>High Risk</v>
      </c>
    </row>
    <row r="96" spans="1:15" x14ac:dyDescent="0.3">
      <c r="A96">
        <v>95</v>
      </c>
      <c r="B96" t="s">
        <v>105</v>
      </c>
      <c r="C96">
        <v>65</v>
      </c>
      <c r="D96" t="s">
        <v>10</v>
      </c>
      <c r="E96">
        <v>10</v>
      </c>
      <c r="F96">
        <v>45740</v>
      </c>
      <c r="G96">
        <v>45761</v>
      </c>
      <c r="H96">
        <v>3</v>
      </c>
      <c r="I96">
        <v>6380</v>
      </c>
      <c r="J96" t="str">
        <f>VLOOKUP(Patients!E96,Diagnosis!$A$2:$B$11,2,0)</f>
        <v>Liver Disease</v>
      </c>
      <c r="K96" t="str">
        <f>VLOOKUP(Patients!H96,Outcomes!$A$2:$B$4,2,0)</f>
        <v>Deceased</v>
      </c>
      <c r="L96">
        <f t="shared" si="2"/>
        <v>21</v>
      </c>
      <c r="M96" t="str">
        <f>VLOOKUP(A96,Labs!A96:C295,3,0)</f>
        <v>Hemoglobin</v>
      </c>
      <c r="N96" t="str">
        <f>IF(VLOOKUP(Patients!A96,Labs!A96:D295,4,0) &gt;120,"High","normal")</f>
        <v>High</v>
      </c>
      <c r="O96" t="str">
        <f t="shared" si="3"/>
        <v>High Risk</v>
      </c>
    </row>
    <row r="97" spans="1:15" x14ac:dyDescent="0.3">
      <c r="A97">
        <v>96</v>
      </c>
      <c r="B97" t="s">
        <v>106</v>
      </c>
      <c r="C97">
        <v>43</v>
      </c>
      <c r="D97" t="s">
        <v>10</v>
      </c>
      <c r="E97">
        <v>6</v>
      </c>
      <c r="F97">
        <v>45793</v>
      </c>
      <c r="G97">
        <v>45800</v>
      </c>
      <c r="H97">
        <v>3</v>
      </c>
      <c r="I97">
        <v>6158</v>
      </c>
      <c r="J97" t="str">
        <f>VLOOKUP(Patients!E97,Diagnosis!$A$2:$B$11,2,0)</f>
        <v>COPD</v>
      </c>
      <c r="K97" t="str">
        <f>VLOOKUP(Patients!H97,Outcomes!$A$2:$B$4,2,0)</f>
        <v>Deceased</v>
      </c>
      <c r="L97">
        <f t="shared" si="2"/>
        <v>7</v>
      </c>
      <c r="M97" t="str">
        <f>VLOOKUP(A97,Labs!A97:C296,3,0)</f>
        <v>Vitamin D</v>
      </c>
      <c r="N97" t="str">
        <f>IF(VLOOKUP(Patients!A97,Labs!A97:D296,4,0) &gt;120,"High","normal")</f>
        <v>High</v>
      </c>
      <c r="O97" t="str">
        <f t="shared" si="3"/>
        <v>High Risk</v>
      </c>
    </row>
    <row r="98" spans="1:15" x14ac:dyDescent="0.3">
      <c r="A98">
        <v>97</v>
      </c>
      <c r="B98" t="s">
        <v>107</v>
      </c>
      <c r="C98">
        <v>60</v>
      </c>
      <c r="D98" t="s">
        <v>14</v>
      </c>
      <c r="E98">
        <v>10</v>
      </c>
      <c r="F98">
        <v>45766</v>
      </c>
      <c r="G98">
        <v>45810</v>
      </c>
      <c r="H98">
        <v>1</v>
      </c>
      <c r="I98">
        <v>7098</v>
      </c>
      <c r="J98" t="str">
        <f>VLOOKUP(Patients!E98,Diagnosis!$A$2:$B$11,2,0)</f>
        <v>Liver Disease</v>
      </c>
      <c r="K98" t="str">
        <f>VLOOKUP(Patients!H98,Outcomes!$A$2:$B$4,2,0)</f>
        <v>Recovered</v>
      </c>
      <c r="L98">
        <f t="shared" si="2"/>
        <v>44</v>
      </c>
      <c r="M98" t="str">
        <f>VLOOKUP(A98,Labs!A98:C297,3,0)</f>
        <v>Creatinine</v>
      </c>
      <c r="N98" t="str">
        <f>IF(VLOOKUP(Patients!A98,Labs!A98:D297,4,0) &gt;120,"High","normal")</f>
        <v>normal</v>
      </c>
      <c r="O98" t="str">
        <f t="shared" si="3"/>
        <v>Low Risk</v>
      </c>
    </row>
    <row r="99" spans="1:15" x14ac:dyDescent="0.3">
      <c r="A99">
        <v>98</v>
      </c>
      <c r="B99" t="s">
        <v>108</v>
      </c>
      <c r="C99">
        <v>77</v>
      </c>
      <c r="D99" t="s">
        <v>10</v>
      </c>
      <c r="E99">
        <v>10</v>
      </c>
      <c r="F99">
        <v>45722</v>
      </c>
      <c r="G99">
        <v>45724</v>
      </c>
      <c r="H99">
        <v>2</v>
      </c>
      <c r="I99">
        <v>6757</v>
      </c>
      <c r="J99" t="str">
        <f>VLOOKUP(Patients!E99,Diagnosis!$A$2:$B$11,2,0)</f>
        <v>Liver Disease</v>
      </c>
      <c r="K99" t="str">
        <f>VLOOKUP(Patients!H99,Outcomes!$A$2:$B$4,2,0)</f>
        <v>Complicated</v>
      </c>
      <c r="L99">
        <f t="shared" si="2"/>
        <v>2</v>
      </c>
      <c r="M99" t="str">
        <f>VLOOKUP(A99,Labs!A99:C298,3,0)</f>
        <v>Vitamin D</v>
      </c>
      <c r="N99" t="str">
        <f>IF(VLOOKUP(Patients!A99,Labs!A99:D298,4,0) &gt;120,"High","normal")</f>
        <v>normal</v>
      </c>
      <c r="O99" t="str">
        <f t="shared" si="3"/>
        <v>High Risk</v>
      </c>
    </row>
    <row r="100" spans="1:15" x14ac:dyDescent="0.3">
      <c r="A100">
        <v>99</v>
      </c>
      <c r="B100" t="s">
        <v>109</v>
      </c>
      <c r="C100">
        <v>44</v>
      </c>
      <c r="D100" t="s">
        <v>10</v>
      </c>
      <c r="E100">
        <v>6</v>
      </c>
      <c r="F100">
        <v>45743</v>
      </c>
      <c r="G100">
        <v>45798</v>
      </c>
      <c r="H100">
        <v>1</v>
      </c>
      <c r="I100">
        <v>4713</v>
      </c>
      <c r="J100" t="str">
        <f>VLOOKUP(Patients!E100,Diagnosis!$A$2:$B$11,2,0)</f>
        <v>COPD</v>
      </c>
      <c r="K100" t="str">
        <f>VLOOKUP(Patients!H100,Outcomes!$A$2:$B$4,2,0)</f>
        <v>Recovered</v>
      </c>
      <c r="L100">
        <f t="shared" si="2"/>
        <v>55</v>
      </c>
      <c r="M100" t="str">
        <f>VLOOKUP(A100,Labs!A100:C299,3,0)</f>
        <v>Blood Pressure</v>
      </c>
      <c r="N100" t="str">
        <f>IF(VLOOKUP(Patients!A100,Labs!A100:D299,4,0) &gt;120,"High","normal")</f>
        <v>High</v>
      </c>
      <c r="O100" t="str">
        <f t="shared" si="3"/>
        <v>Low Risk</v>
      </c>
    </row>
    <row r="101" spans="1:15" x14ac:dyDescent="0.3">
      <c r="A101">
        <v>100</v>
      </c>
      <c r="B101" t="s">
        <v>110</v>
      </c>
      <c r="C101">
        <v>37</v>
      </c>
      <c r="D101" t="s">
        <v>10</v>
      </c>
      <c r="E101">
        <v>1</v>
      </c>
      <c r="F101">
        <v>45802</v>
      </c>
      <c r="G101">
        <v>45811</v>
      </c>
      <c r="H101">
        <v>3</v>
      </c>
      <c r="I101">
        <v>4203</v>
      </c>
      <c r="J101" t="str">
        <f>VLOOKUP(Patients!E101,Diagnosis!$A$2:$B$11,2,0)</f>
        <v>Hypertension</v>
      </c>
      <c r="K101" t="str">
        <f>VLOOKUP(Patients!H101,Outcomes!$A$2:$B$4,2,0)</f>
        <v>Deceased</v>
      </c>
      <c r="L101">
        <f t="shared" si="2"/>
        <v>9</v>
      </c>
      <c r="M101" t="str">
        <f>VLOOKUP(A101,Labs!A101:C300,3,0)</f>
        <v>Vitamin D</v>
      </c>
      <c r="N101" t="str">
        <f>IF(VLOOKUP(Patients!A101,Labs!A101:D300,4,0) &gt;120,"High","normal")</f>
        <v>High</v>
      </c>
      <c r="O101" t="str">
        <f t="shared" si="3"/>
        <v>High Risk</v>
      </c>
    </row>
    <row r="102" spans="1:15" x14ac:dyDescent="0.3">
      <c r="A102">
        <v>101</v>
      </c>
      <c r="B102" t="s">
        <v>111</v>
      </c>
      <c r="C102">
        <v>43</v>
      </c>
      <c r="D102" t="s">
        <v>14</v>
      </c>
      <c r="E102">
        <v>4</v>
      </c>
      <c r="F102">
        <v>45728</v>
      </c>
      <c r="G102">
        <v>45798</v>
      </c>
      <c r="H102">
        <v>1</v>
      </c>
      <c r="I102">
        <v>7588</v>
      </c>
      <c r="J102" t="str">
        <f>VLOOKUP(Patients!E102,Diagnosis!$A$2:$B$11,2,0)</f>
        <v>Asthma</v>
      </c>
      <c r="K102" t="str">
        <f>VLOOKUP(Patients!H102,Outcomes!$A$2:$B$4,2,0)</f>
        <v>Recovered</v>
      </c>
      <c r="L102">
        <f t="shared" si="2"/>
        <v>70</v>
      </c>
      <c r="M102" t="str">
        <f>VLOOKUP(A102,Labs!A102:C301,3,0)</f>
        <v>Creatinine</v>
      </c>
      <c r="N102" t="str">
        <f>IF(VLOOKUP(Patients!A102,Labs!A102:D301,4,0) &gt;120,"High","normal")</f>
        <v>normal</v>
      </c>
      <c r="O102" t="str">
        <f t="shared" si="3"/>
        <v>Low Risk</v>
      </c>
    </row>
    <row r="103" spans="1:15" x14ac:dyDescent="0.3">
      <c r="A103">
        <v>102</v>
      </c>
      <c r="B103" t="s">
        <v>112</v>
      </c>
      <c r="C103">
        <v>52</v>
      </c>
      <c r="D103" t="s">
        <v>14</v>
      </c>
      <c r="E103">
        <v>10</v>
      </c>
      <c r="F103">
        <v>45702</v>
      </c>
      <c r="G103">
        <v>45707</v>
      </c>
      <c r="H103">
        <v>1</v>
      </c>
      <c r="I103">
        <v>5120</v>
      </c>
      <c r="J103" t="str">
        <f>VLOOKUP(Patients!E103,Diagnosis!$A$2:$B$11,2,0)</f>
        <v>Liver Disease</v>
      </c>
      <c r="K103" t="str">
        <f>VLOOKUP(Patients!H103,Outcomes!$A$2:$B$4,2,0)</f>
        <v>Recovered</v>
      </c>
      <c r="L103">
        <f t="shared" si="2"/>
        <v>5</v>
      </c>
      <c r="M103" t="str">
        <f>VLOOKUP(A103,Labs!A103:C302,3,0)</f>
        <v>Cholesterol</v>
      </c>
      <c r="N103" t="str">
        <f>IF(VLOOKUP(Patients!A103,Labs!A103:D302,4,0) &gt;120,"High","normal")</f>
        <v>High</v>
      </c>
      <c r="O103" t="str">
        <f t="shared" si="3"/>
        <v>Low Risk</v>
      </c>
    </row>
    <row r="104" spans="1:15" x14ac:dyDescent="0.3">
      <c r="A104">
        <v>103</v>
      </c>
      <c r="B104" t="s">
        <v>113</v>
      </c>
      <c r="C104">
        <v>89</v>
      </c>
      <c r="D104" t="s">
        <v>10</v>
      </c>
      <c r="E104">
        <v>6</v>
      </c>
      <c r="F104">
        <v>45789</v>
      </c>
      <c r="G104">
        <v>45799</v>
      </c>
      <c r="H104">
        <v>2</v>
      </c>
      <c r="I104">
        <v>2966</v>
      </c>
      <c r="J104" t="str">
        <f>VLOOKUP(Patients!E104,Diagnosis!$A$2:$B$11,2,0)</f>
        <v>COPD</v>
      </c>
      <c r="K104" t="str">
        <f>VLOOKUP(Patients!H104,Outcomes!$A$2:$B$4,2,0)</f>
        <v>Complicated</v>
      </c>
      <c r="L104">
        <f t="shared" si="2"/>
        <v>10</v>
      </c>
      <c r="M104" t="str">
        <f>VLOOKUP(A104,Labs!A104:C303,3,0)</f>
        <v>Blood Pressure</v>
      </c>
      <c r="N104" t="str">
        <f>IF(VLOOKUP(Patients!A104,Labs!A104:D303,4,0) &gt;120,"High","normal")</f>
        <v>normal</v>
      </c>
      <c r="O104" t="str">
        <f t="shared" si="3"/>
        <v>High Risk</v>
      </c>
    </row>
    <row r="105" spans="1:15" x14ac:dyDescent="0.3">
      <c r="A105">
        <v>104</v>
      </c>
      <c r="B105" t="s">
        <v>114</v>
      </c>
      <c r="C105">
        <v>86</v>
      </c>
      <c r="D105" t="s">
        <v>14</v>
      </c>
      <c r="E105">
        <v>6</v>
      </c>
      <c r="F105">
        <v>45693</v>
      </c>
      <c r="G105">
        <v>45821</v>
      </c>
      <c r="H105">
        <v>2</v>
      </c>
      <c r="I105">
        <v>6944</v>
      </c>
      <c r="J105" t="str">
        <f>VLOOKUP(Patients!E105,Diagnosis!$A$2:$B$11,2,0)</f>
        <v>COPD</v>
      </c>
      <c r="K105" t="str">
        <f>VLOOKUP(Patients!H105,Outcomes!$A$2:$B$4,2,0)</f>
        <v>Complicated</v>
      </c>
      <c r="L105">
        <f t="shared" si="2"/>
        <v>128</v>
      </c>
      <c r="M105" t="str">
        <f>VLOOKUP(A105,Labs!A105:C304,3,0)</f>
        <v>Cholesterol</v>
      </c>
      <c r="N105" t="str">
        <f>IF(VLOOKUP(Patients!A105,Labs!A105:D304,4,0) &gt;120,"High","normal")</f>
        <v>High</v>
      </c>
      <c r="O105" t="str">
        <f t="shared" si="3"/>
        <v>High Risk</v>
      </c>
    </row>
    <row r="106" spans="1:15" x14ac:dyDescent="0.3">
      <c r="A106">
        <v>105</v>
      </c>
      <c r="B106" t="s">
        <v>115</v>
      </c>
      <c r="C106">
        <v>69</v>
      </c>
      <c r="D106" t="s">
        <v>14</v>
      </c>
      <c r="E106">
        <v>5</v>
      </c>
      <c r="F106">
        <v>45727</v>
      </c>
      <c r="G106">
        <v>45759</v>
      </c>
      <c r="H106">
        <v>3</v>
      </c>
      <c r="I106">
        <v>7203</v>
      </c>
      <c r="J106" t="str">
        <f>VLOOKUP(Patients!E106,Diagnosis!$A$2:$B$11,2,0)</f>
        <v>Stroke</v>
      </c>
      <c r="K106" t="str">
        <f>VLOOKUP(Patients!H106,Outcomes!$A$2:$B$4,2,0)</f>
        <v>Deceased</v>
      </c>
      <c r="L106">
        <f t="shared" si="2"/>
        <v>32</v>
      </c>
      <c r="M106" t="str">
        <f>VLOOKUP(A106,Labs!A106:C305,3,0)</f>
        <v>Blood Sugar</v>
      </c>
      <c r="N106" t="str">
        <f>IF(VLOOKUP(Patients!A106,Labs!A106:D305,4,0) &gt;120,"High","normal")</f>
        <v>normal</v>
      </c>
      <c r="O106" t="str">
        <f t="shared" si="3"/>
        <v>High Risk</v>
      </c>
    </row>
    <row r="107" spans="1:15" x14ac:dyDescent="0.3">
      <c r="A107">
        <v>106</v>
      </c>
      <c r="B107" t="s">
        <v>116</v>
      </c>
      <c r="C107">
        <v>50</v>
      </c>
      <c r="D107" t="s">
        <v>14</v>
      </c>
      <c r="E107">
        <v>1</v>
      </c>
      <c r="F107">
        <v>45816</v>
      </c>
      <c r="G107">
        <v>45826</v>
      </c>
      <c r="H107">
        <v>1</v>
      </c>
      <c r="I107">
        <v>5432</v>
      </c>
      <c r="J107" t="str">
        <f>VLOOKUP(Patients!E107,Diagnosis!$A$2:$B$11,2,0)</f>
        <v>Hypertension</v>
      </c>
      <c r="K107" t="str">
        <f>VLOOKUP(Patients!H107,Outcomes!$A$2:$B$4,2,0)</f>
        <v>Recovered</v>
      </c>
      <c r="L107">
        <f t="shared" si="2"/>
        <v>10</v>
      </c>
      <c r="M107" t="str">
        <f>VLOOKUP(A107,Labs!A107:C306,3,0)</f>
        <v>Cholesterol</v>
      </c>
      <c r="N107" t="str">
        <f>IF(VLOOKUP(Patients!A107,Labs!A107:D306,4,0) &gt;120,"High","normal")</f>
        <v>High</v>
      </c>
      <c r="O107" t="str">
        <f t="shared" si="3"/>
        <v>Low Risk</v>
      </c>
    </row>
    <row r="108" spans="1:15" x14ac:dyDescent="0.3">
      <c r="A108">
        <v>107</v>
      </c>
      <c r="B108" t="s">
        <v>117</v>
      </c>
      <c r="C108">
        <v>45</v>
      </c>
      <c r="D108" t="s">
        <v>14</v>
      </c>
      <c r="E108">
        <v>8</v>
      </c>
      <c r="F108">
        <v>45676</v>
      </c>
      <c r="G108">
        <v>45844</v>
      </c>
      <c r="H108">
        <v>1</v>
      </c>
      <c r="I108">
        <v>2688</v>
      </c>
      <c r="J108" t="str">
        <f>VLOOKUP(Patients!E108,Diagnosis!$A$2:$B$11,2,0)</f>
        <v>Arthritis</v>
      </c>
      <c r="K108" t="str">
        <f>VLOOKUP(Patients!H108,Outcomes!$A$2:$B$4,2,0)</f>
        <v>Recovered</v>
      </c>
      <c r="L108">
        <f t="shared" si="2"/>
        <v>168</v>
      </c>
      <c r="M108" t="str">
        <f>VLOOKUP(A108,Labs!A108:C307,3,0)</f>
        <v>Blood Sugar</v>
      </c>
      <c r="N108" t="str">
        <f>IF(VLOOKUP(Patients!A108,Labs!A108:D307,4,0) &gt;120,"High","normal")</f>
        <v>High</v>
      </c>
      <c r="O108" t="str">
        <f t="shared" si="3"/>
        <v>Low Risk</v>
      </c>
    </row>
    <row r="109" spans="1:15" x14ac:dyDescent="0.3">
      <c r="A109">
        <v>108</v>
      </c>
      <c r="B109" t="s">
        <v>118</v>
      </c>
      <c r="C109">
        <v>74</v>
      </c>
      <c r="D109" t="s">
        <v>10</v>
      </c>
      <c r="E109">
        <v>5</v>
      </c>
      <c r="F109">
        <v>45765</v>
      </c>
      <c r="G109">
        <v>45771</v>
      </c>
      <c r="H109">
        <v>1</v>
      </c>
      <c r="I109">
        <v>6243</v>
      </c>
      <c r="J109" t="str">
        <f>VLOOKUP(Patients!E109,Diagnosis!$A$2:$B$11,2,0)</f>
        <v>Stroke</v>
      </c>
      <c r="K109" t="str">
        <f>VLOOKUP(Patients!H109,Outcomes!$A$2:$B$4,2,0)</f>
        <v>Recovered</v>
      </c>
      <c r="L109">
        <f t="shared" si="2"/>
        <v>6</v>
      </c>
      <c r="M109" t="str">
        <f>VLOOKUP(A109,Labs!A109:C308,3,0)</f>
        <v>Blood Sugar</v>
      </c>
      <c r="N109" t="str">
        <f>IF(VLOOKUP(Patients!A109,Labs!A109:D308,4,0) &gt;120,"High","normal")</f>
        <v>High</v>
      </c>
      <c r="O109" t="str">
        <f t="shared" si="3"/>
        <v>High Risk</v>
      </c>
    </row>
    <row r="110" spans="1:15" x14ac:dyDescent="0.3">
      <c r="A110">
        <v>109</v>
      </c>
      <c r="B110" t="s">
        <v>119</v>
      </c>
      <c r="C110">
        <v>47</v>
      </c>
      <c r="D110" t="s">
        <v>10</v>
      </c>
      <c r="E110">
        <v>5</v>
      </c>
      <c r="F110">
        <v>45824</v>
      </c>
      <c r="G110">
        <v>45834</v>
      </c>
      <c r="H110">
        <v>3</v>
      </c>
      <c r="I110">
        <v>5701</v>
      </c>
      <c r="J110" t="str">
        <f>VLOOKUP(Patients!E110,Diagnosis!$A$2:$B$11,2,0)</f>
        <v>Stroke</v>
      </c>
      <c r="K110" t="str">
        <f>VLOOKUP(Patients!H110,Outcomes!$A$2:$B$4,2,0)</f>
        <v>Deceased</v>
      </c>
      <c r="L110">
        <f t="shared" si="2"/>
        <v>10</v>
      </c>
      <c r="M110" t="str">
        <f>VLOOKUP(A110,Labs!A110:C309,3,0)</f>
        <v>Cholesterol</v>
      </c>
      <c r="N110" t="str">
        <f>IF(VLOOKUP(Patients!A110,Labs!A110:D309,4,0) &gt;120,"High","normal")</f>
        <v>normal</v>
      </c>
      <c r="O110" t="str">
        <f t="shared" si="3"/>
        <v>High Risk</v>
      </c>
    </row>
    <row r="111" spans="1:15" x14ac:dyDescent="0.3">
      <c r="A111">
        <v>110</v>
      </c>
      <c r="B111" t="s">
        <v>120</v>
      </c>
      <c r="C111">
        <v>76</v>
      </c>
      <c r="D111" t="s">
        <v>14</v>
      </c>
      <c r="E111">
        <v>7</v>
      </c>
      <c r="F111">
        <v>45748</v>
      </c>
      <c r="G111">
        <v>45752</v>
      </c>
      <c r="H111">
        <v>3</v>
      </c>
      <c r="I111">
        <v>2341</v>
      </c>
      <c r="J111" t="str">
        <f>VLOOKUP(Patients!E111,Diagnosis!$A$2:$B$11,2,0)</f>
        <v>Cancer</v>
      </c>
      <c r="K111" t="str">
        <f>VLOOKUP(Patients!H111,Outcomes!$A$2:$B$4,2,0)</f>
        <v>Deceased</v>
      </c>
      <c r="L111">
        <f t="shared" si="2"/>
        <v>4</v>
      </c>
      <c r="M111" t="str">
        <f>VLOOKUP(A111,Labs!A111:C310,3,0)</f>
        <v>Blood Pressure</v>
      </c>
      <c r="N111" t="str">
        <f>IF(VLOOKUP(Patients!A111,Labs!A111:D310,4,0) &gt;120,"High","normal")</f>
        <v>normal</v>
      </c>
      <c r="O111" t="str">
        <f t="shared" si="3"/>
        <v>High Risk</v>
      </c>
    </row>
    <row r="112" spans="1:15" x14ac:dyDescent="0.3">
      <c r="A112">
        <v>111</v>
      </c>
      <c r="B112" t="s">
        <v>121</v>
      </c>
      <c r="C112">
        <v>82</v>
      </c>
      <c r="D112" t="s">
        <v>14</v>
      </c>
      <c r="E112">
        <v>4</v>
      </c>
      <c r="F112">
        <v>45747</v>
      </c>
      <c r="G112">
        <v>45813</v>
      </c>
      <c r="H112">
        <v>2</v>
      </c>
      <c r="I112">
        <v>8619</v>
      </c>
      <c r="J112" t="str">
        <f>VLOOKUP(Patients!E112,Diagnosis!$A$2:$B$11,2,0)</f>
        <v>Asthma</v>
      </c>
      <c r="K112" t="str">
        <f>VLOOKUP(Patients!H112,Outcomes!$A$2:$B$4,2,0)</f>
        <v>Complicated</v>
      </c>
      <c r="L112">
        <f t="shared" si="2"/>
        <v>66</v>
      </c>
      <c r="M112" t="str">
        <f>VLOOKUP(A112,Labs!A112:C311,3,0)</f>
        <v>Creatinine</v>
      </c>
      <c r="N112" t="str">
        <f>IF(VLOOKUP(Patients!A112,Labs!A112:D311,4,0) &gt;120,"High","normal")</f>
        <v>High</v>
      </c>
      <c r="O112" t="str">
        <f t="shared" si="3"/>
        <v>High Risk</v>
      </c>
    </row>
    <row r="113" spans="1:15" x14ac:dyDescent="0.3">
      <c r="A113">
        <v>112</v>
      </c>
      <c r="B113" t="s">
        <v>122</v>
      </c>
      <c r="C113">
        <v>53</v>
      </c>
      <c r="D113" t="s">
        <v>10</v>
      </c>
      <c r="E113">
        <v>6</v>
      </c>
      <c r="F113">
        <v>45676</v>
      </c>
      <c r="G113">
        <v>45687</v>
      </c>
      <c r="H113">
        <v>2</v>
      </c>
      <c r="I113">
        <v>7182</v>
      </c>
      <c r="J113" t="str">
        <f>VLOOKUP(Patients!E113,Diagnosis!$A$2:$B$11,2,0)</f>
        <v>COPD</v>
      </c>
      <c r="K113" t="str">
        <f>VLOOKUP(Patients!H113,Outcomes!$A$2:$B$4,2,0)</f>
        <v>Complicated</v>
      </c>
      <c r="L113">
        <f t="shared" si="2"/>
        <v>11</v>
      </c>
      <c r="M113" t="str">
        <f>VLOOKUP(A113,Labs!A113:C312,3,0)</f>
        <v>Vitamin D</v>
      </c>
      <c r="N113" t="str">
        <f>IF(VLOOKUP(Patients!A113,Labs!A113:D312,4,0) &gt;120,"High","normal")</f>
        <v>High</v>
      </c>
      <c r="O113" t="str">
        <f t="shared" si="3"/>
        <v>High Risk</v>
      </c>
    </row>
    <row r="114" spans="1:15" x14ac:dyDescent="0.3">
      <c r="A114">
        <v>113</v>
      </c>
      <c r="B114" t="s">
        <v>123</v>
      </c>
      <c r="C114">
        <v>55</v>
      </c>
      <c r="D114" t="s">
        <v>10</v>
      </c>
      <c r="E114">
        <v>4</v>
      </c>
      <c r="F114">
        <v>45696</v>
      </c>
      <c r="G114">
        <v>45698</v>
      </c>
      <c r="H114">
        <v>2</v>
      </c>
      <c r="I114">
        <v>3724</v>
      </c>
      <c r="J114" t="str">
        <f>VLOOKUP(Patients!E114,Diagnosis!$A$2:$B$11,2,0)</f>
        <v>Asthma</v>
      </c>
      <c r="K114" t="str">
        <f>VLOOKUP(Patients!H114,Outcomes!$A$2:$B$4,2,0)</f>
        <v>Complicated</v>
      </c>
      <c r="L114">
        <f t="shared" si="2"/>
        <v>2</v>
      </c>
      <c r="M114" t="str">
        <f>VLOOKUP(A114,Labs!A114:C313,3,0)</f>
        <v>Vitamin D</v>
      </c>
      <c r="N114" t="str">
        <f>IF(VLOOKUP(Patients!A114,Labs!A114:D313,4,0) &gt;120,"High","normal")</f>
        <v>High</v>
      </c>
      <c r="O114" t="str">
        <f t="shared" si="3"/>
        <v>High Risk</v>
      </c>
    </row>
    <row r="115" spans="1:15" x14ac:dyDescent="0.3">
      <c r="A115">
        <v>114</v>
      </c>
      <c r="B115" t="s">
        <v>124</v>
      </c>
      <c r="C115">
        <v>54</v>
      </c>
      <c r="D115" t="s">
        <v>14</v>
      </c>
      <c r="E115">
        <v>3</v>
      </c>
      <c r="F115">
        <v>45783</v>
      </c>
      <c r="G115">
        <v>45784</v>
      </c>
      <c r="H115">
        <v>1</v>
      </c>
      <c r="I115">
        <v>7479</v>
      </c>
      <c r="J115" t="str">
        <f>VLOOKUP(Patients!E115,Diagnosis!$A$2:$B$11,2,0)</f>
        <v>Heart Disease</v>
      </c>
      <c r="K115" t="str">
        <f>VLOOKUP(Patients!H115,Outcomes!$A$2:$B$4,2,0)</f>
        <v>Recovered</v>
      </c>
      <c r="L115">
        <f t="shared" si="2"/>
        <v>1</v>
      </c>
      <c r="M115" t="str">
        <f>VLOOKUP(A115,Labs!A115:C314,3,0)</f>
        <v>Creatinine</v>
      </c>
      <c r="N115" t="str">
        <f>IF(VLOOKUP(Patients!A115,Labs!A115:D314,4,0) &gt;120,"High","normal")</f>
        <v>High</v>
      </c>
      <c r="O115" t="str">
        <f t="shared" si="3"/>
        <v>Low Risk</v>
      </c>
    </row>
    <row r="116" spans="1:15" x14ac:dyDescent="0.3">
      <c r="A116">
        <v>115</v>
      </c>
      <c r="B116" t="s">
        <v>125</v>
      </c>
      <c r="C116">
        <v>89</v>
      </c>
      <c r="D116" t="s">
        <v>10</v>
      </c>
      <c r="E116">
        <v>7</v>
      </c>
      <c r="F116">
        <v>45830</v>
      </c>
      <c r="G116">
        <v>45836</v>
      </c>
      <c r="H116">
        <v>1</v>
      </c>
      <c r="I116">
        <v>8704</v>
      </c>
      <c r="J116" t="str">
        <f>VLOOKUP(Patients!E116,Diagnosis!$A$2:$B$11,2,0)</f>
        <v>Cancer</v>
      </c>
      <c r="K116" t="str">
        <f>VLOOKUP(Patients!H116,Outcomes!$A$2:$B$4,2,0)</f>
        <v>Recovered</v>
      </c>
      <c r="L116">
        <f t="shared" si="2"/>
        <v>6</v>
      </c>
      <c r="M116" t="str">
        <f>VLOOKUP(A116,Labs!A116:C315,3,0)</f>
        <v>Blood Sugar</v>
      </c>
      <c r="N116" t="str">
        <f>IF(VLOOKUP(Patients!A116,Labs!A116:D315,4,0) &gt;120,"High","normal")</f>
        <v>High</v>
      </c>
      <c r="O116" t="str">
        <f t="shared" si="3"/>
        <v>High Risk</v>
      </c>
    </row>
    <row r="117" spans="1:15" x14ac:dyDescent="0.3">
      <c r="A117">
        <v>116</v>
      </c>
      <c r="B117" t="s">
        <v>126</v>
      </c>
      <c r="C117">
        <v>89</v>
      </c>
      <c r="D117" t="s">
        <v>14</v>
      </c>
      <c r="E117">
        <v>8</v>
      </c>
      <c r="F117">
        <v>45798</v>
      </c>
      <c r="G117">
        <v>45802</v>
      </c>
      <c r="H117">
        <v>2</v>
      </c>
      <c r="I117">
        <v>6422</v>
      </c>
      <c r="J117" t="str">
        <f>VLOOKUP(Patients!E117,Diagnosis!$A$2:$B$11,2,0)</f>
        <v>Arthritis</v>
      </c>
      <c r="K117" t="str">
        <f>VLOOKUP(Patients!H117,Outcomes!$A$2:$B$4,2,0)</f>
        <v>Complicated</v>
      </c>
      <c r="L117">
        <f t="shared" si="2"/>
        <v>4</v>
      </c>
      <c r="M117" t="str">
        <f>VLOOKUP(A117,Labs!A117:C316,3,0)</f>
        <v>Blood Sugar</v>
      </c>
      <c r="N117" t="str">
        <f>IF(VLOOKUP(Patients!A117,Labs!A117:D316,4,0) &gt;120,"High","normal")</f>
        <v>High</v>
      </c>
      <c r="O117" t="str">
        <f t="shared" si="3"/>
        <v>High Risk</v>
      </c>
    </row>
    <row r="118" spans="1:15" x14ac:dyDescent="0.3">
      <c r="A118">
        <v>117</v>
      </c>
      <c r="B118" t="s">
        <v>127</v>
      </c>
      <c r="C118">
        <v>89</v>
      </c>
      <c r="D118" t="s">
        <v>14</v>
      </c>
      <c r="E118">
        <v>4</v>
      </c>
      <c r="F118">
        <v>45783</v>
      </c>
      <c r="G118">
        <v>45788</v>
      </c>
      <c r="H118">
        <v>1</v>
      </c>
      <c r="I118">
        <v>3792</v>
      </c>
      <c r="J118" t="str">
        <f>VLOOKUP(Patients!E118,Diagnosis!$A$2:$B$11,2,0)</f>
        <v>Asthma</v>
      </c>
      <c r="K118" t="str">
        <f>VLOOKUP(Patients!H118,Outcomes!$A$2:$B$4,2,0)</f>
        <v>Recovered</v>
      </c>
      <c r="L118">
        <f t="shared" si="2"/>
        <v>5</v>
      </c>
      <c r="M118" t="str">
        <f>VLOOKUP(A118,Labs!A118:C317,3,0)</f>
        <v>Blood Pressure</v>
      </c>
      <c r="N118" t="str">
        <f>IF(VLOOKUP(Patients!A118,Labs!A118:D317,4,0) &gt;120,"High","normal")</f>
        <v>High</v>
      </c>
      <c r="O118" t="str">
        <f t="shared" si="3"/>
        <v>High Risk</v>
      </c>
    </row>
    <row r="119" spans="1:15" x14ac:dyDescent="0.3">
      <c r="A119">
        <v>118</v>
      </c>
      <c r="B119" t="s">
        <v>128</v>
      </c>
      <c r="C119">
        <v>74</v>
      </c>
      <c r="D119" t="s">
        <v>10</v>
      </c>
      <c r="E119">
        <v>2</v>
      </c>
      <c r="F119">
        <v>45715</v>
      </c>
      <c r="G119">
        <v>45815</v>
      </c>
      <c r="H119">
        <v>2</v>
      </c>
      <c r="I119">
        <v>3759</v>
      </c>
      <c r="J119" t="str">
        <f>VLOOKUP(Patients!E119,Diagnosis!$A$2:$B$11,2,0)</f>
        <v>Diabetes</v>
      </c>
      <c r="K119" t="str">
        <f>VLOOKUP(Patients!H119,Outcomes!$A$2:$B$4,2,0)</f>
        <v>Complicated</v>
      </c>
      <c r="L119">
        <f t="shared" si="2"/>
        <v>100</v>
      </c>
      <c r="M119" t="str">
        <f>VLOOKUP(A119,Labs!A119:C318,3,0)</f>
        <v>Hemoglobin</v>
      </c>
      <c r="N119" t="str">
        <f>IF(VLOOKUP(Patients!A119,Labs!A119:D318,4,0) &gt;120,"High","normal")</f>
        <v>normal</v>
      </c>
      <c r="O119" t="str">
        <f t="shared" si="3"/>
        <v>High Risk</v>
      </c>
    </row>
    <row r="120" spans="1:15" x14ac:dyDescent="0.3">
      <c r="A120">
        <v>119</v>
      </c>
      <c r="B120" t="s">
        <v>129</v>
      </c>
      <c r="C120">
        <v>70</v>
      </c>
      <c r="D120" t="s">
        <v>10</v>
      </c>
      <c r="E120">
        <v>10</v>
      </c>
      <c r="F120">
        <v>45805</v>
      </c>
      <c r="G120">
        <v>45807</v>
      </c>
      <c r="H120">
        <v>3</v>
      </c>
      <c r="I120">
        <v>5212</v>
      </c>
      <c r="J120" t="str">
        <f>VLOOKUP(Patients!E120,Diagnosis!$A$2:$B$11,2,0)</f>
        <v>Liver Disease</v>
      </c>
      <c r="K120" t="str">
        <f>VLOOKUP(Patients!H120,Outcomes!$A$2:$B$4,2,0)</f>
        <v>Deceased</v>
      </c>
      <c r="L120">
        <f t="shared" si="2"/>
        <v>2</v>
      </c>
      <c r="M120" t="str">
        <f>VLOOKUP(A120,Labs!A120:C319,3,0)</f>
        <v>Cholesterol</v>
      </c>
      <c r="N120" t="str">
        <f>IF(VLOOKUP(Patients!A120,Labs!A120:D319,4,0) &gt;120,"High","normal")</f>
        <v>High</v>
      </c>
      <c r="O120" t="str">
        <f t="shared" si="3"/>
        <v>High Risk</v>
      </c>
    </row>
    <row r="121" spans="1:15" x14ac:dyDescent="0.3">
      <c r="A121">
        <v>120</v>
      </c>
      <c r="B121" t="s">
        <v>130</v>
      </c>
      <c r="C121">
        <v>58</v>
      </c>
      <c r="D121" t="s">
        <v>14</v>
      </c>
      <c r="E121">
        <v>3</v>
      </c>
      <c r="F121">
        <v>45718</v>
      </c>
      <c r="G121">
        <v>45722</v>
      </c>
      <c r="H121">
        <v>2</v>
      </c>
      <c r="I121">
        <v>2989</v>
      </c>
      <c r="J121" t="str">
        <f>VLOOKUP(Patients!E121,Diagnosis!$A$2:$B$11,2,0)</f>
        <v>Heart Disease</v>
      </c>
      <c r="K121" t="str">
        <f>VLOOKUP(Patients!H121,Outcomes!$A$2:$B$4,2,0)</f>
        <v>Complicated</v>
      </c>
      <c r="L121">
        <f t="shared" si="2"/>
        <v>4</v>
      </c>
      <c r="M121" t="str">
        <f>VLOOKUP(A121,Labs!A121:C320,3,0)</f>
        <v>Blood Sugar</v>
      </c>
      <c r="N121" t="str">
        <f>IF(VLOOKUP(Patients!A121,Labs!A121:D320,4,0) &gt;120,"High","normal")</f>
        <v>normal</v>
      </c>
      <c r="O121" t="str">
        <f t="shared" si="3"/>
        <v>High Risk</v>
      </c>
    </row>
    <row r="122" spans="1:15" x14ac:dyDescent="0.3">
      <c r="A122">
        <v>121</v>
      </c>
      <c r="B122" t="s">
        <v>131</v>
      </c>
      <c r="C122">
        <v>44</v>
      </c>
      <c r="D122" t="s">
        <v>14</v>
      </c>
      <c r="E122">
        <v>1</v>
      </c>
      <c r="F122">
        <v>45784</v>
      </c>
      <c r="G122">
        <v>45799</v>
      </c>
      <c r="H122">
        <v>3</v>
      </c>
      <c r="I122">
        <v>4262</v>
      </c>
      <c r="J122" t="str">
        <f>VLOOKUP(Patients!E122,Diagnosis!$A$2:$B$11,2,0)</f>
        <v>Hypertension</v>
      </c>
      <c r="K122" t="str">
        <f>VLOOKUP(Patients!H122,Outcomes!$A$2:$B$4,2,0)</f>
        <v>Deceased</v>
      </c>
      <c r="L122">
        <f t="shared" si="2"/>
        <v>15</v>
      </c>
      <c r="M122" t="str">
        <f>VLOOKUP(A122,Labs!A122:C321,3,0)</f>
        <v>Vitamin D</v>
      </c>
      <c r="N122" t="str">
        <f>IF(VLOOKUP(Patients!A122,Labs!A122:D321,4,0) &gt;120,"High","normal")</f>
        <v>normal</v>
      </c>
      <c r="O122" t="str">
        <f t="shared" si="3"/>
        <v>High Risk</v>
      </c>
    </row>
    <row r="123" spans="1:15" x14ac:dyDescent="0.3">
      <c r="A123">
        <v>122</v>
      </c>
      <c r="B123" t="s">
        <v>132</v>
      </c>
      <c r="C123">
        <v>74</v>
      </c>
      <c r="D123" t="s">
        <v>10</v>
      </c>
      <c r="E123">
        <v>8</v>
      </c>
      <c r="F123">
        <v>45762</v>
      </c>
      <c r="G123">
        <v>45764</v>
      </c>
      <c r="H123">
        <v>1</v>
      </c>
      <c r="I123">
        <v>4482</v>
      </c>
      <c r="J123" t="str">
        <f>VLOOKUP(Patients!E123,Diagnosis!$A$2:$B$11,2,0)</f>
        <v>Arthritis</v>
      </c>
      <c r="K123" t="str">
        <f>VLOOKUP(Patients!H123,Outcomes!$A$2:$B$4,2,0)</f>
        <v>Recovered</v>
      </c>
      <c r="L123">
        <f t="shared" si="2"/>
        <v>2</v>
      </c>
      <c r="M123" t="str">
        <f>VLOOKUP(A123,Labs!A123:C322,3,0)</f>
        <v>Blood Pressure</v>
      </c>
      <c r="N123" t="str">
        <f>IF(VLOOKUP(Patients!A123,Labs!A123:D322,4,0) &gt;120,"High","normal")</f>
        <v>High</v>
      </c>
      <c r="O123" t="str">
        <f t="shared" si="3"/>
        <v>High Risk</v>
      </c>
    </row>
    <row r="124" spans="1:15" x14ac:dyDescent="0.3">
      <c r="A124">
        <v>123</v>
      </c>
      <c r="B124" t="s">
        <v>133</v>
      </c>
      <c r="C124">
        <v>30</v>
      </c>
      <c r="D124" t="s">
        <v>14</v>
      </c>
      <c r="E124">
        <v>3</v>
      </c>
      <c r="F124">
        <v>45824</v>
      </c>
      <c r="G124">
        <v>45831</v>
      </c>
      <c r="H124">
        <v>2</v>
      </c>
      <c r="I124">
        <v>2951</v>
      </c>
      <c r="J124" t="str">
        <f>VLOOKUP(Patients!E124,Diagnosis!$A$2:$B$11,2,0)</f>
        <v>Heart Disease</v>
      </c>
      <c r="K124" t="str">
        <f>VLOOKUP(Patients!H124,Outcomes!$A$2:$B$4,2,0)</f>
        <v>Complicated</v>
      </c>
      <c r="L124">
        <f t="shared" si="2"/>
        <v>7</v>
      </c>
      <c r="M124" t="str">
        <f>VLOOKUP(A124,Labs!A124:C323,3,0)</f>
        <v>Cholesterol</v>
      </c>
      <c r="N124" t="str">
        <f>IF(VLOOKUP(Patients!A124,Labs!A124:D323,4,0) &gt;120,"High","normal")</f>
        <v>normal</v>
      </c>
      <c r="O124" t="str">
        <f t="shared" si="3"/>
        <v>High Risk</v>
      </c>
    </row>
    <row r="125" spans="1:15" x14ac:dyDescent="0.3">
      <c r="A125">
        <v>124</v>
      </c>
      <c r="B125" t="s">
        <v>134</v>
      </c>
      <c r="C125">
        <v>54</v>
      </c>
      <c r="D125" t="s">
        <v>10</v>
      </c>
      <c r="E125">
        <v>10</v>
      </c>
      <c r="F125">
        <v>45658</v>
      </c>
      <c r="G125">
        <v>45712</v>
      </c>
      <c r="H125">
        <v>1</v>
      </c>
      <c r="I125">
        <v>2722</v>
      </c>
      <c r="J125" t="str">
        <f>VLOOKUP(Patients!E125,Diagnosis!$A$2:$B$11,2,0)</f>
        <v>Liver Disease</v>
      </c>
      <c r="K125" t="str">
        <f>VLOOKUP(Patients!H125,Outcomes!$A$2:$B$4,2,0)</f>
        <v>Recovered</v>
      </c>
      <c r="L125">
        <f t="shared" si="2"/>
        <v>54</v>
      </c>
      <c r="M125" t="str">
        <f>VLOOKUP(A125,Labs!A125:C324,3,0)</f>
        <v>Blood Pressure</v>
      </c>
      <c r="N125" t="str">
        <f>IF(VLOOKUP(Patients!A125,Labs!A125:D324,4,0) &gt;120,"High","normal")</f>
        <v>High</v>
      </c>
      <c r="O125" t="str">
        <f t="shared" si="3"/>
        <v>Low Risk</v>
      </c>
    </row>
    <row r="126" spans="1:15" x14ac:dyDescent="0.3">
      <c r="A126">
        <v>125</v>
      </c>
      <c r="B126" t="s">
        <v>135</v>
      </c>
      <c r="C126">
        <v>36</v>
      </c>
      <c r="D126" t="s">
        <v>14</v>
      </c>
      <c r="E126">
        <v>7</v>
      </c>
      <c r="F126">
        <v>45788</v>
      </c>
      <c r="G126">
        <v>45793</v>
      </c>
      <c r="H126">
        <v>3</v>
      </c>
      <c r="I126">
        <v>5389</v>
      </c>
      <c r="J126" t="str">
        <f>VLOOKUP(Patients!E126,Diagnosis!$A$2:$B$11,2,0)</f>
        <v>Cancer</v>
      </c>
      <c r="K126" t="str">
        <f>VLOOKUP(Patients!H126,Outcomes!$A$2:$B$4,2,0)</f>
        <v>Deceased</v>
      </c>
      <c r="L126">
        <f t="shared" si="2"/>
        <v>5</v>
      </c>
      <c r="M126" t="str">
        <f>VLOOKUP(A126,Labs!A126:C325,3,0)</f>
        <v>Cholesterol</v>
      </c>
      <c r="N126" t="str">
        <f>IF(VLOOKUP(Patients!A126,Labs!A126:D325,4,0) &gt;120,"High","normal")</f>
        <v>High</v>
      </c>
      <c r="O126" t="str">
        <f t="shared" si="3"/>
        <v>High Risk</v>
      </c>
    </row>
    <row r="127" spans="1:15" x14ac:dyDescent="0.3">
      <c r="A127">
        <v>126</v>
      </c>
      <c r="B127" t="s">
        <v>136</v>
      </c>
      <c r="C127">
        <v>38</v>
      </c>
      <c r="D127" t="s">
        <v>10</v>
      </c>
      <c r="E127">
        <v>10</v>
      </c>
      <c r="F127">
        <v>45749</v>
      </c>
      <c r="G127">
        <v>45843</v>
      </c>
      <c r="H127">
        <v>3</v>
      </c>
      <c r="I127">
        <v>4079</v>
      </c>
      <c r="J127" t="str">
        <f>VLOOKUP(Patients!E127,Diagnosis!$A$2:$B$11,2,0)</f>
        <v>Liver Disease</v>
      </c>
      <c r="K127" t="str">
        <f>VLOOKUP(Patients!H127,Outcomes!$A$2:$B$4,2,0)</f>
        <v>Deceased</v>
      </c>
      <c r="L127">
        <f t="shared" si="2"/>
        <v>94</v>
      </c>
      <c r="M127" t="str">
        <f>VLOOKUP(A127,Labs!A127:C326,3,0)</f>
        <v>Cholesterol</v>
      </c>
      <c r="N127" t="str">
        <f>IF(VLOOKUP(Patients!A127,Labs!A127:D326,4,0) &gt;120,"High","normal")</f>
        <v>High</v>
      </c>
      <c r="O127" t="str">
        <f t="shared" si="3"/>
        <v>High Risk</v>
      </c>
    </row>
    <row r="128" spans="1:15" x14ac:dyDescent="0.3">
      <c r="A128">
        <v>127</v>
      </c>
      <c r="B128" t="s">
        <v>137</v>
      </c>
      <c r="C128">
        <v>53</v>
      </c>
      <c r="D128" t="s">
        <v>10</v>
      </c>
      <c r="E128">
        <v>5</v>
      </c>
      <c r="F128">
        <v>45770</v>
      </c>
      <c r="G128">
        <v>45778</v>
      </c>
      <c r="H128">
        <v>3</v>
      </c>
      <c r="I128">
        <v>4717</v>
      </c>
      <c r="J128" t="str">
        <f>VLOOKUP(Patients!E128,Diagnosis!$A$2:$B$11,2,0)</f>
        <v>Stroke</v>
      </c>
      <c r="K128" t="str">
        <f>VLOOKUP(Patients!H128,Outcomes!$A$2:$B$4,2,0)</f>
        <v>Deceased</v>
      </c>
      <c r="L128">
        <f t="shared" si="2"/>
        <v>8</v>
      </c>
      <c r="M128" t="str">
        <f>VLOOKUP(A128,Labs!A128:C327,3,0)</f>
        <v>Creatinine</v>
      </c>
      <c r="N128" t="str">
        <f>IF(VLOOKUP(Patients!A128,Labs!A128:D327,4,0) &gt;120,"High","normal")</f>
        <v>High</v>
      </c>
      <c r="O128" t="str">
        <f t="shared" si="3"/>
        <v>High Risk</v>
      </c>
    </row>
    <row r="129" spans="1:15" x14ac:dyDescent="0.3">
      <c r="A129">
        <v>128</v>
      </c>
      <c r="B129" t="s">
        <v>138</v>
      </c>
      <c r="C129">
        <v>30</v>
      </c>
      <c r="D129" t="s">
        <v>10</v>
      </c>
      <c r="E129">
        <v>10</v>
      </c>
      <c r="F129">
        <v>45810</v>
      </c>
      <c r="G129">
        <v>45816</v>
      </c>
      <c r="H129">
        <v>1</v>
      </c>
      <c r="I129">
        <v>4332</v>
      </c>
      <c r="J129" t="str">
        <f>VLOOKUP(Patients!E129,Diagnosis!$A$2:$B$11,2,0)</f>
        <v>Liver Disease</v>
      </c>
      <c r="K129" t="str">
        <f>VLOOKUP(Patients!H129,Outcomes!$A$2:$B$4,2,0)</f>
        <v>Recovered</v>
      </c>
      <c r="L129">
        <f t="shared" si="2"/>
        <v>6</v>
      </c>
      <c r="M129" t="str">
        <f>VLOOKUP(A129,Labs!A129:C328,3,0)</f>
        <v>Blood Sugar</v>
      </c>
      <c r="N129" t="str">
        <f>IF(VLOOKUP(Patients!A129,Labs!A129:D328,4,0) &gt;120,"High","normal")</f>
        <v>normal</v>
      </c>
      <c r="O129" t="str">
        <f t="shared" si="3"/>
        <v>Low Risk</v>
      </c>
    </row>
    <row r="130" spans="1:15" x14ac:dyDescent="0.3">
      <c r="A130">
        <v>129</v>
      </c>
      <c r="B130" t="s">
        <v>139</v>
      </c>
      <c r="C130">
        <v>73</v>
      </c>
      <c r="D130" t="s">
        <v>14</v>
      </c>
      <c r="E130">
        <v>5</v>
      </c>
      <c r="F130">
        <v>45713</v>
      </c>
      <c r="G130">
        <v>45821</v>
      </c>
      <c r="H130">
        <v>1</v>
      </c>
      <c r="I130">
        <v>5376</v>
      </c>
      <c r="J130" t="str">
        <f>VLOOKUP(Patients!E130,Diagnosis!$A$2:$B$11,2,0)</f>
        <v>Stroke</v>
      </c>
      <c r="K130" t="str">
        <f>VLOOKUP(Patients!H130,Outcomes!$A$2:$B$4,2,0)</f>
        <v>Recovered</v>
      </c>
      <c r="L130">
        <f t="shared" si="2"/>
        <v>108</v>
      </c>
      <c r="M130" t="str">
        <f>VLOOKUP(A130,Labs!A130:C329,3,0)</f>
        <v>Blood Pressure</v>
      </c>
      <c r="N130" t="str">
        <f>IF(VLOOKUP(Patients!A130,Labs!A130:D329,4,0) &gt;120,"High","normal")</f>
        <v>High</v>
      </c>
      <c r="O130" t="str">
        <f t="shared" si="3"/>
        <v>High Risk</v>
      </c>
    </row>
    <row r="131" spans="1:15" x14ac:dyDescent="0.3">
      <c r="A131">
        <v>130</v>
      </c>
      <c r="B131" t="s">
        <v>140</v>
      </c>
      <c r="C131">
        <v>37</v>
      </c>
      <c r="D131" t="s">
        <v>14</v>
      </c>
      <c r="E131">
        <v>7</v>
      </c>
      <c r="F131">
        <v>45818</v>
      </c>
      <c r="G131">
        <v>45821</v>
      </c>
      <c r="H131">
        <v>1</v>
      </c>
      <c r="I131">
        <v>6524</v>
      </c>
      <c r="J131" t="str">
        <f>VLOOKUP(Patients!E131,Diagnosis!$A$2:$B$11,2,0)</f>
        <v>Cancer</v>
      </c>
      <c r="K131" t="str">
        <f>VLOOKUP(Patients!H131,Outcomes!$A$2:$B$4,2,0)</f>
        <v>Recovered</v>
      </c>
      <c r="L131">
        <f t="shared" ref="L131:L194" si="4">DATEDIF(F131,G131,"d")</f>
        <v>3</v>
      </c>
      <c r="M131" t="str">
        <f>VLOOKUP(A131,Labs!A131:C330,3,0)</f>
        <v>Blood Pressure</v>
      </c>
      <c r="N131" t="str">
        <f>IF(VLOOKUP(Patients!A131,Labs!A131:D330,4,0) &gt;120,"High","normal")</f>
        <v>High</v>
      </c>
      <c r="O131" t="str">
        <f t="shared" ref="O131:O194" si="5">IF(OR(C131&gt;65,H131&gt;1),"High Risk","Low Risk")</f>
        <v>Low Risk</v>
      </c>
    </row>
    <row r="132" spans="1:15" x14ac:dyDescent="0.3">
      <c r="A132">
        <v>131</v>
      </c>
      <c r="B132" t="s">
        <v>141</v>
      </c>
      <c r="C132">
        <v>53</v>
      </c>
      <c r="D132" t="s">
        <v>10</v>
      </c>
      <c r="E132">
        <v>9</v>
      </c>
      <c r="F132">
        <v>45823</v>
      </c>
      <c r="G132">
        <v>45829</v>
      </c>
      <c r="H132">
        <v>1</v>
      </c>
      <c r="I132">
        <v>3500</v>
      </c>
      <c r="J132" t="str">
        <f>VLOOKUP(Patients!E132,Diagnosis!$A$2:$B$11,2,0)</f>
        <v>Kidney Disease</v>
      </c>
      <c r="K132" t="str">
        <f>VLOOKUP(Patients!H132,Outcomes!$A$2:$B$4,2,0)</f>
        <v>Recovered</v>
      </c>
      <c r="L132">
        <f t="shared" si="4"/>
        <v>6</v>
      </c>
      <c r="M132" t="str">
        <f>VLOOKUP(A132,Labs!A132:C331,3,0)</f>
        <v>Creatinine</v>
      </c>
      <c r="N132" t="str">
        <f>IF(VLOOKUP(Patients!A132,Labs!A132:D331,4,0) &gt;120,"High","normal")</f>
        <v>normal</v>
      </c>
      <c r="O132" t="str">
        <f t="shared" si="5"/>
        <v>Low Risk</v>
      </c>
    </row>
    <row r="133" spans="1:15" x14ac:dyDescent="0.3">
      <c r="A133">
        <v>132</v>
      </c>
      <c r="B133" t="s">
        <v>142</v>
      </c>
      <c r="C133">
        <v>40</v>
      </c>
      <c r="D133" t="s">
        <v>14</v>
      </c>
      <c r="E133">
        <v>5</v>
      </c>
      <c r="F133">
        <v>45774</v>
      </c>
      <c r="G133">
        <v>45780</v>
      </c>
      <c r="H133">
        <v>3</v>
      </c>
      <c r="I133">
        <v>2285</v>
      </c>
      <c r="J133" t="str">
        <f>VLOOKUP(Patients!E133,Diagnosis!$A$2:$B$11,2,0)</f>
        <v>Stroke</v>
      </c>
      <c r="K133" t="str">
        <f>VLOOKUP(Patients!H133,Outcomes!$A$2:$B$4,2,0)</f>
        <v>Deceased</v>
      </c>
      <c r="L133">
        <f t="shared" si="4"/>
        <v>6</v>
      </c>
      <c r="M133" t="str">
        <f>VLOOKUP(A133,Labs!A133:C332,3,0)</f>
        <v>Vitamin D</v>
      </c>
      <c r="N133" t="str">
        <f>IF(VLOOKUP(Patients!A133,Labs!A133:D332,4,0) &gt;120,"High","normal")</f>
        <v>High</v>
      </c>
      <c r="O133" t="str">
        <f t="shared" si="5"/>
        <v>High Risk</v>
      </c>
    </row>
    <row r="134" spans="1:15" x14ac:dyDescent="0.3">
      <c r="A134">
        <v>133</v>
      </c>
      <c r="B134" t="s">
        <v>143</v>
      </c>
      <c r="C134">
        <v>80</v>
      </c>
      <c r="D134" t="s">
        <v>10</v>
      </c>
      <c r="E134">
        <v>1</v>
      </c>
      <c r="F134">
        <v>45791</v>
      </c>
      <c r="G134">
        <v>45795</v>
      </c>
      <c r="H134">
        <v>3</v>
      </c>
      <c r="I134">
        <v>9311</v>
      </c>
      <c r="J134" t="str">
        <f>VLOOKUP(Patients!E134,Diagnosis!$A$2:$B$11,2,0)</f>
        <v>Hypertension</v>
      </c>
      <c r="K134" t="str">
        <f>VLOOKUP(Patients!H134,Outcomes!$A$2:$B$4,2,0)</f>
        <v>Deceased</v>
      </c>
      <c r="L134">
        <f t="shared" si="4"/>
        <v>4</v>
      </c>
      <c r="M134" t="str">
        <f>VLOOKUP(A134,Labs!A134:C333,3,0)</f>
        <v>Vitamin D</v>
      </c>
      <c r="N134" t="str">
        <f>IF(VLOOKUP(Patients!A134,Labs!A134:D333,4,0) &gt;120,"High","normal")</f>
        <v>normal</v>
      </c>
      <c r="O134" t="str">
        <f t="shared" si="5"/>
        <v>High Risk</v>
      </c>
    </row>
    <row r="135" spans="1:15" x14ac:dyDescent="0.3">
      <c r="A135">
        <v>134</v>
      </c>
      <c r="B135" t="s">
        <v>144</v>
      </c>
      <c r="C135">
        <v>46</v>
      </c>
      <c r="D135" t="s">
        <v>10</v>
      </c>
      <c r="E135">
        <v>10</v>
      </c>
      <c r="F135">
        <v>45715</v>
      </c>
      <c r="G135">
        <v>45722</v>
      </c>
      <c r="H135">
        <v>2</v>
      </c>
      <c r="I135">
        <v>5495</v>
      </c>
      <c r="J135" t="str">
        <f>VLOOKUP(Patients!E135,Diagnosis!$A$2:$B$11,2,0)</f>
        <v>Liver Disease</v>
      </c>
      <c r="K135" t="str">
        <f>VLOOKUP(Patients!H135,Outcomes!$A$2:$B$4,2,0)</f>
        <v>Complicated</v>
      </c>
      <c r="L135">
        <f t="shared" si="4"/>
        <v>7</v>
      </c>
      <c r="M135" t="str">
        <f>VLOOKUP(A135,Labs!A135:C334,3,0)</f>
        <v>Blood Sugar</v>
      </c>
      <c r="N135" t="str">
        <f>IF(VLOOKUP(Patients!A135,Labs!A135:D334,4,0) &gt;120,"High","normal")</f>
        <v>normal</v>
      </c>
      <c r="O135" t="str">
        <f t="shared" si="5"/>
        <v>High Risk</v>
      </c>
    </row>
    <row r="136" spans="1:15" x14ac:dyDescent="0.3">
      <c r="A136">
        <v>135</v>
      </c>
      <c r="B136" t="s">
        <v>145</v>
      </c>
      <c r="C136">
        <v>37</v>
      </c>
      <c r="D136" t="s">
        <v>14</v>
      </c>
      <c r="E136">
        <v>10</v>
      </c>
      <c r="F136">
        <v>45701</v>
      </c>
      <c r="G136">
        <v>45760</v>
      </c>
      <c r="H136">
        <v>2</v>
      </c>
      <c r="I136">
        <v>9186</v>
      </c>
      <c r="J136" t="str">
        <f>VLOOKUP(Patients!E136,Diagnosis!$A$2:$B$11,2,0)</f>
        <v>Liver Disease</v>
      </c>
      <c r="K136" t="str">
        <f>VLOOKUP(Patients!H136,Outcomes!$A$2:$B$4,2,0)</f>
        <v>Complicated</v>
      </c>
      <c r="L136">
        <f t="shared" si="4"/>
        <v>59</v>
      </c>
      <c r="M136" t="str">
        <f>VLOOKUP(A136,Labs!A136:C335,3,0)</f>
        <v>Blood Sugar</v>
      </c>
      <c r="N136" t="str">
        <f>IF(VLOOKUP(Patients!A136,Labs!A136:D335,4,0) &gt;120,"High","normal")</f>
        <v>High</v>
      </c>
      <c r="O136" t="str">
        <f t="shared" si="5"/>
        <v>High Risk</v>
      </c>
    </row>
    <row r="137" spans="1:15" x14ac:dyDescent="0.3">
      <c r="A137">
        <v>136</v>
      </c>
      <c r="B137" t="s">
        <v>146</v>
      </c>
      <c r="C137">
        <v>64</v>
      </c>
      <c r="D137" t="s">
        <v>14</v>
      </c>
      <c r="E137">
        <v>1</v>
      </c>
      <c r="F137">
        <v>45830</v>
      </c>
      <c r="G137">
        <v>45835</v>
      </c>
      <c r="H137">
        <v>1</v>
      </c>
      <c r="I137">
        <v>4065</v>
      </c>
      <c r="J137" t="str">
        <f>VLOOKUP(Patients!E137,Diagnosis!$A$2:$B$11,2,0)</f>
        <v>Hypertension</v>
      </c>
      <c r="K137" t="str">
        <f>VLOOKUP(Patients!H137,Outcomes!$A$2:$B$4,2,0)</f>
        <v>Recovered</v>
      </c>
      <c r="L137">
        <f t="shared" si="4"/>
        <v>5</v>
      </c>
      <c r="M137" t="str">
        <f>VLOOKUP(A137,Labs!A137:C336,3,0)</f>
        <v>Hemoglobin</v>
      </c>
      <c r="N137" t="str">
        <f>IF(VLOOKUP(Patients!A137,Labs!A137:D336,4,0) &gt;120,"High","normal")</f>
        <v>normal</v>
      </c>
      <c r="O137" t="str">
        <f t="shared" si="5"/>
        <v>Low Risk</v>
      </c>
    </row>
    <row r="138" spans="1:15" x14ac:dyDescent="0.3">
      <c r="A138">
        <v>137</v>
      </c>
      <c r="B138" t="s">
        <v>147</v>
      </c>
      <c r="C138">
        <v>64</v>
      </c>
      <c r="D138" t="s">
        <v>10</v>
      </c>
      <c r="E138">
        <v>2</v>
      </c>
      <c r="F138">
        <v>45817</v>
      </c>
      <c r="G138">
        <v>45819</v>
      </c>
      <c r="H138">
        <v>3</v>
      </c>
      <c r="I138">
        <v>2768</v>
      </c>
      <c r="J138" t="str">
        <f>VLOOKUP(Patients!E138,Diagnosis!$A$2:$B$11,2,0)</f>
        <v>Diabetes</v>
      </c>
      <c r="K138" t="str">
        <f>VLOOKUP(Patients!H138,Outcomes!$A$2:$B$4,2,0)</f>
        <v>Deceased</v>
      </c>
      <c r="L138">
        <f t="shared" si="4"/>
        <v>2</v>
      </c>
      <c r="M138" t="str">
        <f>VLOOKUP(A138,Labs!A138:C337,3,0)</f>
        <v>Creatinine</v>
      </c>
      <c r="N138" t="str">
        <f>IF(VLOOKUP(Patients!A138,Labs!A138:D337,4,0) &gt;120,"High","normal")</f>
        <v>High</v>
      </c>
      <c r="O138" t="str">
        <f t="shared" si="5"/>
        <v>High Risk</v>
      </c>
    </row>
    <row r="139" spans="1:15" x14ac:dyDescent="0.3">
      <c r="A139">
        <v>138</v>
      </c>
      <c r="B139" t="s">
        <v>148</v>
      </c>
      <c r="C139">
        <v>62</v>
      </c>
      <c r="D139" t="s">
        <v>14</v>
      </c>
      <c r="E139">
        <v>6</v>
      </c>
      <c r="F139">
        <v>45830</v>
      </c>
      <c r="G139">
        <v>45840</v>
      </c>
      <c r="H139">
        <v>3</v>
      </c>
      <c r="I139">
        <v>8733</v>
      </c>
      <c r="J139" t="str">
        <f>VLOOKUP(Patients!E139,Diagnosis!$A$2:$B$11,2,0)</f>
        <v>COPD</v>
      </c>
      <c r="K139" t="str">
        <f>VLOOKUP(Patients!H139,Outcomes!$A$2:$B$4,2,0)</f>
        <v>Deceased</v>
      </c>
      <c r="L139">
        <f t="shared" si="4"/>
        <v>10</v>
      </c>
      <c r="M139" t="str">
        <f>VLOOKUP(A139,Labs!A139:C338,3,0)</f>
        <v>Vitamin D</v>
      </c>
      <c r="N139" t="str">
        <f>IF(VLOOKUP(Patients!A139,Labs!A139:D338,4,0) &gt;120,"High","normal")</f>
        <v>High</v>
      </c>
      <c r="O139" t="str">
        <f t="shared" si="5"/>
        <v>High Risk</v>
      </c>
    </row>
    <row r="140" spans="1:15" x14ac:dyDescent="0.3">
      <c r="A140">
        <v>139</v>
      </c>
      <c r="B140" t="s">
        <v>149</v>
      </c>
      <c r="C140">
        <v>88</v>
      </c>
      <c r="D140" t="s">
        <v>14</v>
      </c>
      <c r="E140">
        <v>9</v>
      </c>
      <c r="F140">
        <v>45718</v>
      </c>
      <c r="G140">
        <v>45727</v>
      </c>
      <c r="H140">
        <v>3</v>
      </c>
      <c r="I140">
        <v>7490</v>
      </c>
      <c r="J140" t="str">
        <f>VLOOKUP(Patients!E140,Diagnosis!$A$2:$B$11,2,0)</f>
        <v>Kidney Disease</v>
      </c>
      <c r="K140" t="str">
        <f>VLOOKUP(Patients!H140,Outcomes!$A$2:$B$4,2,0)</f>
        <v>Deceased</v>
      </c>
      <c r="L140">
        <f t="shared" si="4"/>
        <v>9</v>
      </c>
      <c r="M140" t="str">
        <f>VLOOKUP(A140,Labs!A140:C339,3,0)</f>
        <v>Cholesterol</v>
      </c>
      <c r="N140" t="str">
        <f>IF(VLOOKUP(Patients!A140,Labs!A140:D339,4,0) &gt;120,"High","normal")</f>
        <v>High</v>
      </c>
      <c r="O140" t="str">
        <f t="shared" si="5"/>
        <v>High Risk</v>
      </c>
    </row>
    <row r="141" spans="1:15" x14ac:dyDescent="0.3">
      <c r="A141">
        <v>140</v>
      </c>
      <c r="B141" t="s">
        <v>150</v>
      </c>
      <c r="C141">
        <v>34</v>
      </c>
      <c r="D141" t="s">
        <v>10</v>
      </c>
      <c r="E141">
        <v>8</v>
      </c>
      <c r="F141">
        <v>45704</v>
      </c>
      <c r="G141">
        <v>45747</v>
      </c>
      <c r="H141">
        <v>2</v>
      </c>
      <c r="I141">
        <v>9342</v>
      </c>
      <c r="J141" t="str">
        <f>VLOOKUP(Patients!E141,Diagnosis!$A$2:$B$11,2,0)</f>
        <v>Arthritis</v>
      </c>
      <c r="K141" t="str">
        <f>VLOOKUP(Patients!H141,Outcomes!$A$2:$B$4,2,0)</f>
        <v>Complicated</v>
      </c>
      <c r="L141">
        <f t="shared" si="4"/>
        <v>43</v>
      </c>
      <c r="M141" t="str">
        <f>VLOOKUP(A141,Labs!A141:C340,3,0)</f>
        <v>Blood Pressure</v>
      </c>
      <c r="N141" t="str">
        <f>IF(VLOOKUP(Patients!A141,Labs!A141:D340,4,0) &gt;120,"High","normal")</f>
        <v>normal</v>
      </c>
      <c r="O141" t="str">
        <f t="shared" si="5"/>
        <v>High Risk</v>
      </c>
    </row>
    <row r="142" spans="1:15" x14ac:dyDescent="0.3">
      <c r="A142">
        <v>141</v>
      </c>
      <c r="B142" t="s">
        <v>151</v>
      </c>
      <c r="C142">
        <v>71</v>
      </c>
      <c r="D142" t="s">
        <v>10</v>
      </c>
      <c r="E142">
        <v>5</v>
      </c>
      <c r="F142">
        <v>45806</v>
      </c>
      <c r="G142">
        <v>45809</v>
      </c>
      <c r="H142">
        <v>2</v>
      </c>
      <c r="I142">
        <v>5057</v>
      </c>
      <c r="J142" t="str">
        <f>VLOOKUP(Patients!E142,Diagnosis!$A$2:$B$11,2,0)</f>
        <v>Stroke</v>
      </c>
      <c r="K142" t="str">
        <f>VLOOKUP(Patients!H142,Outcomes!$A$2:$B$4,2,0)</f>
        <v>Complicated</v>
      </c>
      <c r="L142">
        <f t="shared" si="4"/>
        <v>3</v>
      </c>
      <c r="M142" t="str">
        <f>VLOOKUP(A142,Labs!A142:C341,3,0)</f>
        <v>Blood Sugar</v>
      </c>
      <c r="N142" t="str">
        <f>IF(VLOOKUP(Patients!A142,Labs!A142:D341,4,0) &gt;120,"High","normal")</f>
        <v>normal</v>
      </c>
      <c r="O142" t="str">
        <f t="shared" si="5"/>
        <v>High Risk</v>
      </c>
    </row>
    <row r="143" spans="1:15" x14ac:dyDescent="0.3">
      <c r="A143">
        <v>142</v>
      </c>
      <c r="B143" t="s">
        <v>152</v>
      </c>
      <c r="C143">
        <v>68</v>
      </c>
      <c r="D143" t="s">
        <v>14</v>
      </c>
      <c r="E143">
        <v>1</v>
      </c>
      <c r="F143">
        <v>45737</v>
      </c>
      <c r="G143">
        <v>45746</v>
      </c>
      <c r="H143">
        <v>3</v>
      </c>
      <c r="I143">
        <v>6289</v>
      </c>
      <c r="J143" t="str">
        <f>VLOOKUP(Patients!E143,Diagnosis!$A$2:$B$11,2,0)</f>
        <v>Hypertension</v>
      </c>
      <c r="K143" t="str">
        <f>VLOOKUP(Patients!H143,Outcomes!$A$2:$B$4,2,0)</f>
        <v>Deceased</v>
      </c>
      <c r="L143">
        <f t="shared" si="4"/>
        <v>9</v>
      </c>
      <c r="M143" t="str">
        <f>VLOOKUP(A143,Labs!A143:C342,3,0)</f>
        <v>Blood Pressure</v>
      </c>
      <c r="N143" t="str">
        <f>IF(VLOOKUP(Patients!A143,Labs!A143:D342,4,0) &gt;120,"High","normal")</f>
        <v>normal</v>
      </c>
      <c r="O143" t="str">
        <f t="shared" si="5"/>
        <v>High Risk</v>
      </c>
    </row>
    <row r="144" spans="1:15" x14ac:dyDescent="0.3">
      <c r="A144">
        <v>143</v>
      </c>
      <c r="B144" t="s">
        <v>153</v>
      </c>
      <c r="C144">
        <v>87</v>
      </c>
      <c r="D144" t="s">
        <v>10</v>
      </c>
      <c r="E144">
        <v>7</v>
      </c>
      <c r="F144">
        <v>45775</v>
      </c>
      <c r="G144">
        <v>45779</v>
      </c>
      <c r="H144">
        <v>3</v>
      </c>
      <c r="I144">
        <v>8645</v>
      </c>
      <c r="J144" t="str">
        <f>VLOOKUP(Patients!E144,Diagnosis!$A$2:$B$11,2,0)</f>
        <v>Cancer</v>
      </c>
      <c r="K144" t="str">
        <f>VLOOKUP(Patients!H144,Outcomes!$A$2:$B$4,2,0)</f>
        <v>Deceased</v>
      </c>
      <c r="L144">
        <f t="shared" si="4"/>
        <v>4</v>
      </c>
      <c r="M144" t="str">
        <f>VLOOKUP(A144,Labs!A144:C343,3,0)</f>
        <v>Blood Pressure</v>
      </c>
      <c r="N144" t="str">
        <f>IF(VLOOKUP(Patients!A144,Labs!A144:D343,4,0) &gt;120,"High","normal")</f>
        <v>High</v>
      </c>
      <c r="O144" t="str">
        <f t="shared" si="5"/>
        <v>High Risk</v>
      </c>
    </row>
    <row r="145" spans="1:15" x14ac:dyDescent="0.3">
      <c r="A145">
        <v>144</v>
      </c>
      <c r="B145" t="s">
        <v>154</v>
      </c>
      <c r="C145">
        <v>70</v>
      </c>
      <c r="D145" t="s">
        <v>10</v>
      </c>
      <c r="E145">
        <v>5</v>
      </c>
      <c r="F145">
        <v>45821</v>
      </c>
      <c r="G145">
        <v>45824</v>
      </c>
      <c r="H145">
        <v>3</v>
      </c>
      <c r="I145">
        <v>7083</v>
      </c>
      <c r="J145" t="str">
        <f>VLOOKUP(Patients!E145,Diagnosis!$A$2:$B$11,2,0)</f>
        <v>Stroke</v>
      </c>
      <c r="K145" t="str">
        <f>VLOOKUP(Patients!H145,Outcomes!$A$2:$B$4,2,0)</f>
        <v>Deceased</v>
      </c>
      <c r="L145">
        <f t="shared" si="4"/>
        <v>3</v>
      </c>
      <c r="M145" t="str">
        <f>VLOOKUP(A145,Labs!A145:C344,3,0)</f>
        <v>Hemoglobin</v>
      </c>
      <c r="N145" t="str">
        <f>IF(VLOOKUP(Patients!A145,Labs!A145:D344,4,0) &gt;120,"High","normal")</f>
        <v>High</v>
      </c>
      <c r="O145" t="str">
        <f t="shared" si="5"/>
        <v>High Risk</v>
      </c>
    </row>
    <row r="146" spans="1:15" x14ac:dyDescent="0.3">
      <c r="A146">
        <v>145</v>
      </c>
      <c r="B146" t="s">
        <v>155</v>
      </c>
      <c r="C146">
        <v>57</v>
      </c>
      <c r="D146" t="s">
        <v>14</v>
      </c>
      <c r="E146">
        <v>6</v>
      </c>
      <c r="F146">
        <v>45804</v>
      </c>
      <c r="G146">
        <v>45812</v>
      </c>
      <c r="H146">
        <v>2</v>
      </c>
      <c r="I146">
        <v>7232</v>
      </c>
      <c r="J146" t="str">
        <f>VLOOKUP(Patients!E146,Diagnosis!$A$2:$B$11,2,0)</f>
        <v>COPD</v>
      </c>
      <c r="K146" t="str">
        <f>VLOOKUP(Patients!H146,Outcomes!$A$2:$B$4,2,0)</f>
        <v>Complicated</v>
      </c>
      <c r="L146">
        <f t="shared" si="4"/>
        <v>8</v>
      </c>
      <c r="M146" t="str">
        <f>VLOOKUP(A146,Labs!A146:C345,3,0)</f>
        <v>Vitamin D</v>
      </c>
      <c r="N146" t="str">
        <f>IF(VLOOKUP(Patients!A146,Labs!A146:D345,4,0) &gt;120,"High","normal")</f>
        <v>normal</v>
      </c>
      <c r="O146" t="str">
        <f t="shared" si="5"/>
        <v>High Risk</v>
      </c>
    </row>
    <row r="147" spans="1:15" x14ac:dyDescent="0.3">
      <c r="A147">
        <v>146</v>
      </c>
      <c r="B147" t="s">
        <v>156</v>
      </c>
      <c r="C147">
        <v>36</v>
      </c>
      <c r="D147" t="s">
        <v>10</v>
      </c>
      <c r="E147">
        <v>7</v>
      </c>
      <c r="F147">
        <v>45677</v>
      </c>
      <c r="G147">
        <v>45765</v>
      </c>
      <c r="H147">
        <v>3</v>
      </c>
      <c r="I147">
        <v>4161</v>
      </c>
      <c r="J147" t="str">
        <f>VLOOKUP(Patients!E147,Diagnosis!$A$2:$B$11,2,0)</f>
        <v>Cancer</v>
      </c>
      <c r="K147" t="str">
        <f>VLOOKUP(Patients!H147,Outcomes!$A$2:$B$4,2,0)</f>
        <v>Deceased</v>
      </c>
      <c r="L147">
        <f t="shared" si="4"/>
        <v>88</v>
      </c>
      <c r="M147" t="str">
        <f>VLOOKUP(A147,Labs!A147:C346,3,0)</f>
        <v>Blood Sugar</v>
      </c>
      <c r="N147" t="str">
        <f>IF(VLOOKUP(Patients!A147,Labs!A147:D346,4,0) &gt;120,"High","normal")</f>
        <v>High</v>
      </c>
      <c r="O147" t="str">
        <f t="shared" si="5"/>
        <v>High Risk</v>
      </c>
    </row>
    <row r="148" spans="1:15" x14ac:dyDescent="0.3">
      <c r="A148">
        <v>147</v>
      </c>
      <c r="B148" t="s">
        <v>157</v>
      </c>
      <c r="C148">
        <v>38</v>
      </c>
      <c r="D148" t="s">
        <v>10</v>
      </c>
      <c r="E148">
        <v>3</v>
      </c>
      <c r="F148">
        <v>45803</v>
      </c>
      <c r="G148">
        <v>45846</v>
      </c>
      <c r="H148">
        <v>3</v>
      </c>
      <c r="I148">
        <v>5293</v>
      </c>
      <c r="J148" t="str">
        <f>VLOOKUP(Patients!E148,Diagnosis!$A$2:$B$11,2,0)</f>
        <v>Heart Disease</v>
      </c>
      <c r="K148" t="str">
        <f>VLOOKUP(Patients!H148,Outcomes!$A$2:$B$4,2,0)</f>
        <v>Deceased</v>
      </c>
      <c r="L148">
        <f t="shared" si="4"/>
        <v>43</v>
      </c>
      <c r="M148" t="str">
        <f>VLOOKUP(A148,Labs!A148:C347,3,0)</f>
        <v>Blood Pressure</v>
      </c>
      <c r="N148" t="str">
        <f>IF(VLOOKUP(Patients!A148,Labs!A148:D347,4,0) &gt;120,"High","normal")</f>
        <v>normal</v>
      </c>
      <c r="O148" t="str">
        <f t="shared" si="5"/>
        <v>High Risk</v>
      </c>
    </row>
    <row r="149" spans="1:15" x14ac:dyDescent="0.3">
      <c r="A149">
        <v>148</v>
      </c>
      <c r="B149" t="s">
        <v>158</v>
      </c>
      <c r="C149">
        <v>37</v>
      </c>
      <c r="D149" t="s">
        <v>14</v>
      </c>
      <c r="E149">
        <v>10</v>
      </c>
      <c r="F149">
        <v>45704</v>
      </c>
      <c r="G149">
        <v>45713</v>
      </c>
      <c r="H149">
        <v>1</v>
      </c>
      <c r="I149">
        <v>7797</v>
      </c>
      <c r="J149" t="str">
        <f>VLOOKUP(Patients!E149,Diagnosis!$A$2:$B$11,2,0)</f>
        <v>Liver Disease</v>
      </c>
      <c r="K149" t="str">
        <f>VLOOKUP(Patients!H149,Outcomes!$A$2:$B$4,2,0)</f>
        <v>Recovered</v>
      </c>
      <c r="L149">
        <f t="shared" si="4"/>
        <v>9</v>
      </c>
      <c r="M149" t="str">
        <f>VLOOKUP(A149,Labs!A149:C348,3,0)</f>
        <v>Blood Sugar</v>
      </c>
      <c r="N149" t="str">
        <f>IF(VLOOKUP(Patients!A149,Labs!A149:D348,4,0) &gt;120,"High","normal")</f>
        <v>High</v>
      </c>
      <c r="O149" t="str">
        <f t="shared" si="5"/>
        <v>Low Risk</v>
      </c>
    </row>
    <row r="150" spans="1:15" x14ac:dyDescent="0.3">
      <c r="A150">
        <v>149</v>
      </c>
      <c r="B150" t="s">
        <v>159</v>
      </c>
      <c r="C150">
        <v>41</v>
      </c>
      <c r="D150" t="s">
        <v>14</v>
      </c>
      <c r="E150">
        <v>3</v>
      </c>
      <c r="F150">
        <v>45706</v>
      </c>
      <c r="G150">
        <v>45793</v>
      </c>
      <c r="H150">
        <v>1</v>
      </c>
      <c r="I150">
        <v>2946</v>
      </c>
      <c r="J150" t="str">
        <f>VLOOKUP(Patients!E150,Diagnosis!$A$2:$B$11,2,0)</f>
        <v>Heart Disease</v>
      </c>
      <c r="K150" t="str">
        <f>VLOOKUP(Patients!H150,Outcomes!$A$2:$B$4,2,0)</f>
        <v>Recovered</v>
      </c>
      <c r="L150">
        <f t="shared" si="4"/>
        <v>87</v>
      </c>
      <c r="M150" t="str">
        <f>VLOOKUP(A150,Labs!A150:C349,3,0)</f>
        <v>Cholesterol</v>
      </c>
      <c r="N150" t="str">
        <f>IF(VLOOKUP(Patients!A150,Labs!A150:D349,4,0) &gt;120,"High","normal")</f>
        <v>High</v>
      </c>
      <c r="O150" t="str">
        <f t="shared" si="5"/>
        <v>Low Risk</v>
      </c>
    </row>
    <row r="151" spans="1:15" x14ac:dyDescent="0.3">
      <c r="A151">
        <v>150</v>
      </c>
      <c r="B151" t="s">
        <v>160</v>
      </c>
      <c r="C151">
        <v>63</v>
      </c>
      <c r="D151" t="s">
        <v>10</v>
      </c>
      <c r="E151">
        <v>5</v>
      </c>
      <c r="F151">
        <v>45671</v>
      </c>
      <c r="G151">
        <v>45722</v>
      </c>
      <c r="H151">
        <v>2</v>
      </c>
      <c r="I151">
        <v>6926</v>
      </c>
      <c r="J151" t="str">
        <f>VLOOKUP(Patients!E151,Diagnosis!$A$2:$B$11,2,0)</f>
        <v>Stroke</v>
      </c>
      <c r="K151" t="str">
        <f>VLOOKUP(Patients!H151,Outcomes!$A$2:$B$4,2,0)</f>
        <v>Complicated</v>
      </c>
      <c r="L151">
        <f t="shared" si="4"/>
        <v>51</v>
      </c>
      <c r="M151" t="str">
        <f>VLOOKUP(A151,Labs!A151:C350,3,0)</f>
        <v>Hemoglobin</v>
      </c>
      <c r="N151" t="str">
        <f>IF(VLOOKUP(Patients!A151,Labs!A151:D350,4,0) &gt;120,"High","normal")</f>
        <v>High</v>
      </c>
      <c r="O151" t="str">
        <f t="shared" si="5"/>
        <v>High Risk</v>
      </c>
    </row>
    <row r="152" spans="1:15" x14ac:dyDescent="0.3">
      <c r="A152">
        <v>151</v>
      </c>
      <c r="B152" t="s">
        <v>161</v>
      </c>
      <c r="C152">
        <v>62</v>
      </c>
      <c r="D152" t="s">
        <v>10</v>
      </c>
      <c r="E152">
        <v>6</v>
      </c>
      <c r="F152">
        <v>45800</v>
      </c>
      <c r="G152">
        <v>45807</v>
      </c>
      <c r="H152">
        <v>3</v>
      </c>
      <c r="I152">
        <v>9811</v>
      </c>
      <c r="J152" t="str">
        <f>VLOOKUP(Patients!E152,Diagnosis!$A$2:$B$11,2,0)</f>
        <v>COPD</v>
      </c>
      <c r="K152" t="str">
        <f>VLOOKUP(Patients!H152,Outcomes!$A$2:$B$4,2,0)</f>
        <v>Deceased</v>
      </c>
      <c r="L152">
        <f t="shared" si="4"/>
        <v>7</v>
      </c>
      <c r="M152" t="str">
        <f>VLOOKUP(A152,Labs!A152:C351,3,0)</f>
        <v>Cholesterol</v>
      </c>
      <c r="N152" t="str">
        <f>IF(VLOOKUP(Patients!A152,Labs!A152:D351,4,0) &gt;120,"High","normal")</f>
        <v>High</v>
      </c>
      <c r="O152" t="str">
        <f t="shared" si="5"/>
        <v>High Risk</v>
      </c>
    </row>
    <row r="153" spans="1:15" x14ac:dyDescent="0.3">
      <c r="A153">
        <v>152</v>
      </c>
      <c r="B153" t="s">
        <v>162</v>
      </c>
      <c r="C153">
        <v>77</v>
      </c>
      <c r="D153" t="s">
        <v>14</v>
      </c>
      <c r="E153">
        <v>9</v>
      </c>
      <c r="F153">
        <v>45816</v>
      </c>
      <c r="G153">
        <v>45821</v>
      </c>
      <c r="H153">
        <v>3</v>
      </c>
      <c r="I153">
        <v>8016</v>
      </c>
      <c r="J153" t="str">
        <f>VLOOKUP(Patients!E153,Diagnosis!$A$2:$B$11,2,0)</f>
        <v>Kidney Disease</v>
      </c>
      <c r="K153" t="str">
        <f>VLOOKUP(Patients!H153,Outcomes!$A$2:$B$4,2,0)</f>
        <v>Deceased</v>
      </c>
      <c r="L153">
        <f t="shared" si="4"/>
        <v>5</v>
      </c>
      <c r="M153" t="str">
        <f>VLOOKUP(A153,Labs!A153:C352,3,0)</f>
        <v>Blood Sugar</v>
      </c>
      <c r="N153" t="str">
        <f>IF(VLOOKUP(Patients!A153,Labs!A153:D352,4,0) &gt;120,"High","normal")</f>
        <v>High</v>
      </c>
      <c r="O153" t="str">
        <f t="shared" si="5"/>
        <v>High Risk</v>
      </c>
    </row>
    <row r="154" spans="1:15" x14ac:dyDescent="0.3">
      <c r="A154">
        <v>153</v>
      </c>
      <c r="B154" t="s">
        <v>163</v>
      </c>
      <c r="C154">
        <v>84</v>
      </c>
      <c r="D154" t="s">
        <v>14</v>
      </c>
      <c r="E154">
        <v>5</v>
      </c>
      <c r="F154">
        <v>45658</v>
      </c>
      <c r="G154">
        <v>45744</v>
      </c>
      <c r="H154">
        <v>1</v>
      </c>
      <c r="I154">
        <v>5335</v>
      </c>
      <c r="J154" t="str">
        <f>VLOOKUP(Patients!E154,Diagnosis!$A$2:$B$11,2,0)</f>
        <v>Stroke</v>
      </c>
      <c r="K154" t="str">
        <f>VLOOKUP(Patients!H154,Outcomes!$A$2:$B$4,2,0)</f>
        <v>Recovered</v>
      </c>
      <c r="L154">
        <f t="shared" si="4"/>
        <v>86</v>
      </c>
      <c r="M154" t="str">
        <f>VLOOKUP(A154,Labs!A154:C353,3,0)</f>
        <v>Blood Sugar</v>
      </c>
      <c r="N154" t="str">
        <f>IF(VLOOKUP(Patients!A154,Labs!A154:D353,4,0) &gt;120,"High","normal")</f>
        <v>High</v>
      </c>
      <c r="O154" t="str">
        <f t="shared" si="5"/>
        <v>High Risk</v>
      </c>
    </row>
    <row r="155" spans="1:15" x14ac:dyDescent="0.3">
      <c r="A155">
        <v>154</v>
      </c>
      <c r="B155" t="s">
        <v>164</v>
      </c>
      <c r="C155">
        <v>52</v>
      </c>
      <c r="D155" t="s">
        <v>14</v>
      </c>
      <c r="E155">
        <v>1</v>
      </c>
      <c r="F155">
        <v>45774</v>
      </c>
      <c r="G155">
        <v>45796</v>
      </c>
      <c r="H155">
        <v>2</v>
      </c>
      <c r="I155">
        <v>9068</v>
      </c>
      <c r="J155" t="str">
        <f>VLOOKUP(Patients!E155,Diagnosis!$A$2:$B$11,2,0)</f>
        <v>Hypertension</v>
      </c>
      <c r="K155" t="str">
        <f>VLOOKUP(Patients!H155,Outcomes!$A$2:$B$4,2,0)</f>
        <v>Complicated</v>
      </c>
      <c r="L155">
        <f t="shared" si="4"/>
        <v>22</v>
      </c>
      <c r="M155" t="str">
        <f>VLOOKUP(A155,Labs!A155:C354,3,0)</f>
        <v>Vitamin D</v>
      </c>
      <c r="N155" t="str">
        <f>IF(VLOOKUP(Patients!A155,Labs!A155:D354,4,0) &gt;120,"High","normal")</f>
        <v>High</v>
      </c>
      <c r="O155" t="str">
        <f t="shared" si="5"/>
        <v>High Risk</v>
      </c>
    </row>
    <row r="156" spans="1:15" x14ac:dyDescent="0.3">
      <c r="A156">
        <v>155</v>
      </c>
      <c r="B156" t="s">
        <v>165</v>
      </c>
      <c r="C156">
        <v>53</v>
      </c>
      <c r="D156" t="s">
        <v>14</v>
      </c>
      <c r="E156">
        <v>4</v>
      </c>
      <c r="F156">
        <v>45711</v>
      </c>
      <c r="G156">
        <v>45775</v>
      </c>
      <c r="H156">
        <v>1</v>
      </c>
      <c r="I156">
        <v>6150</v>
      </c>
      <c r="J156" t="str">
        <f>VLOOKUP(Patients!E156,Diagnosis!$A$2:$B$11,2,0)</f>
        <v>Asthma</v>
      </c>
      <c r="K156" t="str">
        <f>VLOOKUP(Patients!H156,Outcomes!$A$2:$B$4,2,0)</f>
        <v>Recovered</v>
      </c>
      <c r="L156">
        <f t="shared" si="4"/>
        <v>64</v>
      </c>
      <c r="M156" t="str">
        <f>VLOOKUP(A156,Labs!A156:C355,3,0)</f>
        <v>Blood Pressure</v>
      </c>
      <c r="N156" t="str">
        <f>IF(VLOOKUP(Patients!A156,Labs!A156:D355,4,0) &gt;120,"High","normal")</f>
        <v>normal</v>
      </c>
      <c r="O156" t="str">
        <f t="shared" si="5"/>
        <v>Low Risk</v>
      </c>
    </row>
    <row r="157" spans="1:15" x14ac:dyDescent="0.3">
      <c r="A157">
        <v>156</v>
      </c>
      <c r="B157" t="s">
        <v>166</v>
      </c>
      <c r="C157">
        <v>66</v>
      </c>
      <c r="D157" t="s">
        <v>10</v>
      </c>
      <c r="E157">
        <v>5</v>
      </c>
      <c r="F157">
        <v>45775</v>
      </c>
      <c r="G157">
        <v>45820</v>
      </c>
      <c r="H157">
        <v>1</v>
      </c>
      <c r="I157">
        <v>9810</v>
      </c>
      <c r="J157" t="str">
        <f>VLOOKUP(Patients!E157,Diagnosis!$A$2:$B$11,2,0)</f>
        <v>Stroke</v>
      </c>
      <c r="K157" t="str">
        <f>VLOOKUP(Patients!H157,Outcomes!$A$2:$B$4,2,0)</f>
        <v>Recovered</v>
      </c>
      <c r="L157">
        <f t="shared" si="4"/>
        <v>45</v>
      </c>
      <c r="M157" t="str">
        <f>VLOOKUP(A157,Labs!A157:C356,3,0)</f>
        <v>Blood Pressure</v>
      </c>
      <c r="N157" t="str">
        <f>IF(VLOOKUP(Patients!A157,Labs!A157:D356,4,0) &gt;120,"High","normal")</f>
        <v>High</v>
      </c>
      <c r="O157" t="str">
        <f t="shared" si="5"/>
        <v>High Risk</v>
      </c>
    </row>
    <row r="158" spans="1:15" x14ac:dyDescent="0.3">
      <c r="A158">
        <v>157</v>
      </c>
      <c r="B158" t="s">
        <v>167</v>
      </c>
      <c r="C158">
        <v>64</v>
      </c>
      <c r="D158" t="s">
        <v>14</v>
      </c>
      <c r="E158">
        <v>10</v>
      </c>
      <c r="F158">
        <v>45660</v>
      </c>
      <c r="G158">
        <v>45680</v>
      </c>
      <c r="H158">
        <v>1</v>
      </c>
      <c r="I158">
        <v>6895</v>
      </c>
      <c r="J158" t="str">
        <f>VLOOKUP(Patients!E158,Diagnosis!$A$2:$B$11,2,0)</f>
        <v>Liver Disease</v>
      </c>
      <c r="K158" t="str">
        <f>VLOOKUP(Patients!H158,Outcomes!$A$2:$B$4,2,0)</f>
        <v>Recovered</v>
      </c>
      <c r="L158">
        <f t="shared" si="4"/>
        <v>20</v>
      </c>
      <c r="M158" t="str">
        <f>VLOOKUP(A158,Labs!A158:C357,3,0)</f>
        <v>Cholesterol</v>
      </c>
      <c r="N158" t="str">
        <f>IF(VLOOKUP(Patients!A158,Labs!A158:D357,4,0) &gt;120,"High","normal")</f>
        <v>High</v>
      </c>
      <c r="O158" t="str">
        <f t="shared" si="5"/>
        <v>Low Risk</v>
      </c>
    </row>
    <row r="159" spans="1:15" x14ac:dyDescent="0.3">
      <c r="A159">
        <v>158</v>
      </c>
      <c r="B159" t="s">
        <v>168</v>
      </c>
      <c r="C159">
        <v>73</v>
      </c>
      <c r="D159" t="s">
        <v>14</v>
      </c>
      <c r="E159">
        <v>10</v>
      </c>
      <c r="F159">
        <v>45801</v>
      </c>
      <c r="G159">
        <v>45810</v>
      </c>
      <c r="H159">
        <v>1</v>
      </c>
      <c r="I159">
        <v>6873</v>
      </c>
      <c r="J159" t="str">
        <f>VLOOKUP(Patients!E159,Diagnosis!$A$2:$B$11,2,0)</f>
        <v>Liver Disease</v>
      </c>
      <c r="K159" t="str">
        <f>VLOOKUP(Patients!H159,Outcomes!$A$2:$B$4,2,0)</f>
        <v>Recovered</v>
      </c>
      <c r="L159">
        <f t="shared" si="4"/>
        <v>9</v>
      </c>
      <c r="M159" t="str">
        <f>VLOOKUP(A159,Labs!A159:C358,3,0)</f>
        <v>Hemoglobin</v>
      </c>
      <c r="N159" t="str">
        <f>IF(VLOOKUP(Patients!A159,Labs!A159:D358,4,0) &gt;120,"High","normal")</f>
        <v>High</v>
      </c>
      <c r="O159" t="str">
        <f t="shared" si="5"/>
        <v>High Risk</v>
      </c>
    </row>
    <row r="160" spans="1:15" x14ac:dyDescent="0.3">
      <c r="A160">
        <v>159</v>
      </c>
      <c r="B160" t="s">
        <v>169</v>
      </c>
      <c r="C160">
        <v>69</v>
      </c>
      <c r="D160" t="s">
        <v>10</v>
      </c>
      <c r="E160">
        <v>5</v>
      </c>
      <c r="F160">
        <v>45669</v>
      </c>
      <c r="G160">
        <v>45781</v>
      </c>
      <c r="H160">
        <v>3</v>
      </c>
      <c r="I160">
        <v>3481</v>
      </c>
      <c r="J160" t="str">
        <f>VLOOKUP(Patients!E160,Diagnosis!$A$2:$B$11,2,0)</f>
        <v>Stroke</v>
      </c>
      <c r="K160" t="str">
        <f>VLOOKUP(Patients!H160,Outcomes!$A$2:$B$4,2,0)</f>
        <v>Deceased</v>
      </c>
      <c r="L160">
        <f t="shared" si="4"/>
        <v>112</v>
      </c>
      <c r="M160" t="str">
        <f>VLOOKUP(A160,Labs!A160:C359,3,0)</f>
        <v>Creatinine</v>
      </c>
      <c r="N160" t="str">
        <f>IF(VLOOKUP(Patients!A160,Labs!A160:D359,4,0) &gt;120,"High","normal")</f>
        <v>High</v>
      </c>
      <c r="O160" t="str">
        <f t="shared" si="5"/>
        <v>High Risk</v>
      </c>
    </row>
    <row r="161" spans="1:15" x14ac:dyDescent="0.3">
      <c r="A161">
        <v>160</v>
      </c>
      <c r="B161" t="s">
        <v>170</v>
      </c>
      <c r="C161">
        <v>51</v>
      </c>
      <c r="D161" t="s">
        <v>14</v>
      </c>
      <c r="E161">
        <v>7</v>
      </c>
      <c r="F161">
        <v>45731</v>
      </c>
      <c r="G161">
        <v>45735</v>
      </c>
      <c r="H161">
        <v>3</v>
      </c>
      <c r="I161">
        <v>3901</v>
      </c>
      <c r="J161" t="str">
        <f>VLOOKUP(Patients!E161,Diagnosis!$A$2:$B$11,2,0)</f>
        <v>Cancer</v>
      </c>
      <c r="K161" t="str">
        <f>VLOOKUP(Patients!H161,Outcomes!$A$2:$B$4,2,0)</f>
        <v>Deceased</v>
      </c>
      <c r="L161">
        <f t="shared" si="4"/>
        <v>4</v>
      </c>
      <c r="M161" t="str">
        <f>VLOOKUP(A161,Labs!A161:C360,3,0)</f>
        <v>Blood Pressure</v>
      </c>
      <c r="N161" t="str">
        <f>IF(VLOOKUP(Patients!A161,Labs!A161:D360,4,0) &gt;120,"High","normal")</f>
        <v>High</v>
      </c>
      <c r="O161" t="str">
        <f t="shared" si="5"/>
        <v>High Risk</v>
      </c>
    </row>
    <row r="162" spans="1:15" x14ac:dyDescent="0.3">
      <c r="A162">
        <v>161</v>
      </c>
      <c r="B162" t="s">
        <v>171</v>
      </c>
      <c r="C162">
        <v>56</v>
      </c>
      <c r="D162" t="s">
        <v>10</v>
      </c>
      <c r="E162">
        <v>4</v>
      </c>
      <c r="F162">
        <v>45673</v>
      </c>
      <c r="G162">
        <v>45679</v>
      </c>
      <c r="H162">
        <v>1</v>
      </c>
      <c r="I162">
        <v>8305</v>
      </c>
      <c r="J162" t="str">
        <f>VLOOKUP(Patients!E162,Diagnosis!$A$2:$B$11,2,0)</f>
        <v>Asthma</v>
      </c>
      <c r="K162" t="str">
        <f>VLOOKUP(Patients!H162,Outcomes!$A$2:$B$4,2,0)</f>
        <v>Recovered</v>
      </c>
      <c r="L162">
        <f t="shared" si="4"/>
        <v>6</v>
      </c>
      <c r="M162" t="str">
        <f>VLOOKUP(A162,Labs!A162:C361,3,0)</f>
        <v>Vitamin D</v>
      </c>
      <c r="N162" t="str">
        <f>IF(VLOOKUP(Patients!A162,Labs!A162:D361,4,0) &gt;120,"High","normal")</f>
        <v>High</v>
      </c>
      <c r="O162" t="str">
        <f t="shared" si="5"/>
        <v>Low Risk</v>
      </c>
    </row>
    <row r="163" spans="1:15" x14ac:dyDescent="0.3">
      <c r="A163">
        <v>162</v>
      </c>
      <c r="B163" t="s">
        <v>172</v>
      </c>
      <c r="C163">
        <v>64</v>
      </c>
      <c r="D163" t="s">
        <v>14</v>
      </c>
      <c r="E163">
        <v>1</v>
      </c>
      <c r="F163">
        <v>45759</v>
      </c>
      <c r="G163">
        <v>45777</v>
      </c>
      <c r="H163">
        <v>2</v>
      </c>
      <c r="I163">
        <v>5451</v>
      </c>
      <c r="J163" t="str">
        <f>VLOOKUP(Patients!E163,Diagnosis!$A$2:$B$11,2,0)</f>
        <v>Hypertension</v>
      </c>
      <c r="K163" t="str">
        <f>VLOOKUP(Patients!H163,Outcomes!$A$2:$B$4,2,0)</f>
        <v>Complicated</v>
      </c>
      <c r="L163">
        <f t="shared" si="4"/>
        <v>18</v>
      </c>
      <c r="M163" t="str">
        <f>VLOOKUP(A163,Labs!A163:C362,3,0)</f>
        <v>Cholesterol</v>
      </c>
      <c r="N163" t="str">
        <f>IF(VLOOKUP(Patients!A163,Labs!A163:D362,4,0) &gt;120,"High","normal")</f>
        <v>High</v>
      </c>
      <c r="O163" t="str">
        <f t="shared" si="5"/>
        <v>High Risk</v>
      </c>
    </row>
    <row r="164" spans="1:15" x14ac:dyDescent="0.3">
      <c r="A164">
        <v>163</v>
      </c>
      <c r="B164" t="s">
        <v>173</v>
      </c>
      <c r="C164">
        <v>30</v>
      </c>
      <c r="D164" t="s">
        <v>14</v>
      </c>
      <c r="E164">
        <v>5</v>
      </c>
      <c r="F164">
        <v>45809</v>
      </c>
      <c r="G164">
        <v>45817</v>
      </c>
      <c r="H164">
        <v>2</v>
      </c>
      <c r="I164">
        <v>6064</v>
      </c>
      <c r="J164" t="str">
        <f>VLOOKUP(Patients!E164,Diagnosis!$A$2:$B$11,2,0)</f>
        <v>Stroke</v>
      </c>
      <c r="K164" t="str">
        <f>VLOOKUP(Patients!H164,Outcomes!$A$2:$B$4,2,0)</f>
        <v>Complicated</v>
      </c>
      <c r="L164">
        <f t="shared" si="4"/>
        <v>8</v>
      </c>
      <c r="M164" t="str">
        <f>VLOOKUP(A164,Labs!A164:C363,3,0)</f>
        <v>Cholesterol</v>
      </c>
      <c r="N164" t="str">
        <f>IF(VLOOKUP(Patients!A164,Labs!A164:D363,4,0) &gt;120,"High","normal")</f>
        <v>normal</v>
      </c>
      <c r="O164" t="str">
        <f t="shared" si="5"/>
        <v>High Risk</v>
      </c>
    </row>
    <row r="165" spans="1:15" x14ac:dyDescent="0.3">
      <c r="A165">
        <v>164</v>
      </c>
      <c r="B165" t="s">
        <v>174</v>
      </c>
      <c r="C165">
        <v>64</v>
      </c>
      <c r="D165" t="s">
        <v>14</v>
      </c>
      <c r="E165">
        <v>7</v>
      </c>
      <c r="F165">
        <v>45813</v>
      </c>
      <c r="G165">
        <v>45814</v>
      </c>
      <c r="H165">
        <v>2</v>
      </c>
      <c r="I165">
        <v>8230</v>
      </c>
      <c r="J165" t="str">
        <f>VLOOKUP(Patients!E165,Diagnosis!$A$2:$B$11,2,0)</f>
        <v>Cancer</v>
      </c>
      <c r="K165" t="str">
        <f>VLOOKUP(Patients!H165,Outcomes!$A$2:$B$4,2,0)</f>
        <v>Complicated</v>
      </c>
      <c r="L165">
        <f t="shared" si="4"/>
        <v>1</v>
      </c>
      <c r="M165" t="str">
        <f>VLOOKUP(A165,Labs!A165:C364,3,0)</f>
        <v>Creatinine</v>
      </c>
      <c r="N165" t="str">
        <f>IF(VLOOKUP(Patients!A165,Labs!A165:D364,4,0) &gt;120,"High","normal")</f>
        <v>normal</v>
      </c>
      <c r="O165" t="str">
        <f t="shared" si="5"/>
        <v>High Risk</v>
      </c>
    </row>
    <row r="166" spans="1:15" x14ac:dyDescent="0.3">
      <c r="A166">
        <v>165</v>
      </c>
      <c r="B166" t="s">
        <v>175</v>
      </c>
      <c r="C166">
        <v>66</v>
      </c>
      <c r="D166" t="s">
        <v>10</v>
      </c>
      <c r="E166">
        <v>10</v>
      </c>
      <c r="F166">
        <v>45774</v>
      </c>
      <c r="G166">
        <v>45778</v>
      </c>
      <c r="H166">
        <v>2</v>
      </c>
      <c r="I166">
        <v>2054</v>
      </c>
      <c r="J166" t="str">
        <f>VLOOKUP(Patients!E166,Diagnosis!$A$2:$B$11,2,0)</f>
        <v>Liver Disease</v>
      </c>
      <c r="K166" t="str">
        <f>VLOOKUP(Patients!H166,Outcomes!$A$2:$B$4,2,0)</f>
        <v>Complicated</v>
      </c>
      <c r="L166">
        <f t="shared" si="4"/>
        <v>4</v>
      </c>
      <c r="M166" t="str">
        <f>VLOOKUP(A166,Labs!A166:C365,3,0)</f>
        <v>Vitamin D</v>
      </c>
      <c r="N166" t="str">
        <f>IF(VLOOKUP(Patients!A166,Labs!A166:D365,4,0) &gt;120,"High","normal")</f>
        <v>normal</v>
      </c>
      <c r="O166" t="str">
        <f t="shared" si="5"/>
        <v>High Risk</v>
      </c>
    </row>
    <row r="167" spans="1:15" x14ac:dyDescent="0.3">
      <c r="A167">
        <v>166</v>
      </c>
      <c r="B167" t="s">
        <v>176</v>
      </c>
      <c r="C167">
        <v>76</v>
      </c>
      <c r="D167" t="s">
        <v>10</v>
      </c>
      <c r="E167">
        <v>10</v>
      </c>
      <c r="F167">
        <v>45665</v>
      </c>
      <c r="G167">
        <v>45704</v>
      </c>
      <c r="H167">
        <v>1</v>
      </c>
      <c r="I167">
        <v>9643</v>
      </c>
      <c r="J167" t="str">
        <f>VLOOKUP(Patients!E167,Diagnosis!$A$2:$B$11,2,0)</f>
        <v>Liver Disease</v>
      </c>
      <c r="K167" t="str">
        <f>VLOOKUP(Patients!H167,Outcomes!$A$2:$B$4,2,0)</f>
        <v>Recovered</v>
      </c>
      <c r="L167">
        <f t="shared" si="4"/>
        <v>39</v>
      </c>
      <c r="M167" t="str">
        <f>VLOOKUP(A167,Labs!A167:C366,3,0)</f>
        <v>Hemoglobin</v>
      </c>
      <c r="N167" t="str">
        <f>IF(VLOOKUP(Patients!A167,Labs!A167:D366,4,0) &gt;120,"High","normal")</f>
        <v>normal</v>
      </c>
      <c r="O167" t="str">
        <f t="shared" si="5"/>
        <v>High Risk</v>
      </c>
    </row>
    <row r="168" spans="1:15" x14ac:dyDescent="0.3">
      <c r="A168">
        <v>167</v>
      </c>
      <c r="B168" t="s">
        <v>177</v>
      </c>
      <c r="C168">
        <v>43</v>
      </c>
      <c r="D168" t="s">
        <v>14</v>
      </c>
      <c r="E168">
        <v>6</v>
      </c>
      <c r="F168">
        <v>45779</v>
      </c>
      <c r="G168">
        <v>45781</v>
      </c>
      <c r="H168">
        <v>3</v>
      </c>
      <c r="I168">
        <v>3823</v>
      </c>
      <c r="J168" t="str">
        <f>VLOOKUP(Patients!E168,Diagnosis!$A$2:$B$11,2,0)</f>
        <v>COPD</v>
      </c>
      <c r="K168" t="str">
        <f>VLOOKUP(Patients!H168,Outcomes!$A$2:$B$4,2,0)</f>
        <v>Deceased</v>
      </c>
      <c r="L168">
        <f t="shared" si="4"/>
        <v>2</v>
      </c>
      <c r="M168" t="str">
        <f>VLOOKUP(A168,Labs!A168:C367,3,0)</f>
        <v>Vitamin D</v>
      </c>
      <c r="N168" t="str">
        <f>IF(VLOOKUP(Patients!A168,Labs!A168:D367,4,0) &gt;120,"High","normal")</f>
        <v>High</v>
      </c>
      <c r="O168" t="str">
        <f t="shared" si="5"/>
        <v>High Risk</v>
      </c>
    </row>
    <row r="169" spans="1:15" x14ac:dyDescent="0.3">
      <c r="A169">
        <v>168</v>
      </c>
      <c r="B169" t="s">
        <v>178</v>
      </c>
      <c r="C169">
        <v>32</v>
      </c>
      <c r="D169" t="s">
        <v>10</v>
      </c>
      <c r="E169">
        <v>5</v>
      </c>
      <c r="F169">
        <v>45749</v>
      </c>
      <c r="G169">
        <v>45750</v>
      </c>
      <c r="H169">
        <v>2</v>
      </c>
      <c r="I169">
        <v>7297</v>
      </c>
      <c r="J169" t="str">
        <f>VLOOKUP(Patients!E169,Diagnosis!$A$2:$B$11,2,0)</f>
        <v>Stroke</v>
      </c>
      <c r="K169" t="str">
        <f>VLOOKUP(Patients!H169,Outcomes!$A$2:$B$4,2,0)</f>
        <v>Complicated</v>
      </c>
      <c r="L169">
        <f t="shared" si="4"/>
        <v>1</v>
      </c>
      <c r="M169" t="str">
        <f>VLOOKUP(A169,Labs!A169:C368,3,0)</f>
        <v>Hemoglobin</v>
      </c>
      <c r="N169" t="str">
        <f>IF(VLOOKUP(Patients!A169,Labs!A169:D368,4,0) &gt;120,"High","normal")</f>
        <v>normal</v>
      </c>
      <c r="O169" t="str">
        <f t="shared" si="5"/>
        <v>High Risk</v>
      </c>
    </row>
    <row r="170" spans="1:15" x14ac:dyDescent="0.3">
      <c r="A170">
        <v>169</v>
      </c>
      <c r="B170" t="s">
        <v>179</v>
      </c>
      <c r="C170">
        <v>30</v>
      </c>
      <c r="D170" t="s">
        <v>10</v>
      </c>
      <c r="E170">
        <v>4</v>
      </c>
      <c r="F170">
        <v>45821</v>
      </c>
      <c r="G170">
        <v>45827</v>
      </c>
      <c r="H170">
        <v>1</v>
      </c>
      <c r="I170">
        <v>5462</v>
      </c>
      <c r="J170" t="str">
        <f>VLOOKUP(Patients!E170,Diagnosis!$A$2:$B$11,2,0)</f>
        <v>Asthma</v>
      </c>
      <c r="K170" t="str">
        <f>VLOOKUP(Patients!H170,Outcomes!$A$2:$B$4,2,0)</f>
        <v>Recovered</v>
      </c>
      <c r="L170">
        <f t="shared" si="4"/>
        <v>6</v>
      </c>
      <c r="M170" t="str">
        <f>VLOOKUP(A170,Labs!A170:C369,3,0)</f>
        <v>Vitamin D</v>
      </c>
      <c r="N170" t="str">
        <f>IF(VLOOKUP(Patients!A170,Labs!A170:D369,4,0) &gt;120,"High","normal")</f>
        <v>High</v>
      </c>
      <c r="O170" t="str">
        <f t="shared" si="5"/>
        <v>Low Risk</v>
      </c>
    </row>
    <row r="171" spans="1:15" x14ac:dyDescent="0.3">
      <c r="A171">
        <v>170</v>
      </c>
      <c r="B171" t="s">
        <v>180</v>
      </c>
      <c r="C171">
        <v>34</v>
      </c>
      <c r="D171" t="s">
        <v>10</v>
      </c>
      <c r="E171">
        <v>2</v>
      </c>
      <c r="F171">
        <v>45747</v>
      </c>
      <c r="G171">
        <v>45754</v>
      </c>
      <c r="H171">
        <v>2</v>
      </c>
      <c r="I171">
        <v>9516</v>
      </c>
      <c r="J171" t="str">
        <f>VLOOKUP(Patients!E171,Diagnosis!$A$2:$B$11,2,0)</f>
        <v>Diabetes</v>
      </c>
      <c r="K171" t="str">
        <f>VLOOKUP(Patients!H171,Outcomes!$A$2:$B$4,2,0)</f>
        <v>Complicated</v>
      </c>
      <c r="L171">
        <f t="shared" si="4"/>
        <v>7</v>
      </c>
      <c r="M171" t="str">
        <f>VLOOKUP(A171,Labs!A171:C370,3,0)</f>
        <v>Vitamin D</v>
      </c>
      <c r="N171" t="str">
        <f>IF(VLOOKUP(Patients!A171,Labs!A171:D370,4,0) &gt;120,"High","normal")</f>
        <v>High</v>
      </c>
      <c r="O171" t="str">
        <f t="shared" si="5"/>
        <v>High Risk</v>
      </c>
    </row>
    <row r="172" spans="1:15" x14ac:dyDescent="0.3">
      <c r="A172">
        <v>171</v>
      </c>
      <c r="B172" t="s">
        <v>181</v>
      </c>
      <c r="C172">
        <v>55</v>
      </c>
      <c r="D172" t="s">
        <v>10</v>
      </c>
      <c r="E172">
        <v>4</v>
      </c>
      <c r="F172">
        <v>45793</v>
      </c>
      <c r="G172">
        <v>45798</v>
      </c>
      <c r="H172">
        <v>2</v>
      </c>
      <c r="I172">
        <v>5079</v>
      </c>
      <c r="J172" t="str">
        <f>VLOOKUP(Patients!E172,Diagnosis!$A$2:$B$11,2,0)</f>
        <v>Asthma</v>
      </c>
      <c r="K172" t="str">
        <f>VLOOKUP(Patients!H172,Outcomes!$A$2:$B$4,2,0)</f>
        <v>Complicated</v>
      </c>
      <c r="L172">
        <f t="shared" si="4"/>
        <v>5</v>
      </c>
      <c r="M172" t="str">
        <f>VLOOKUP(A172,Labs!A172:C371,3,0)</f>
        <v>Blood Sugar</v>
      </c>
      <c r="N172" t="str">
        <f>IF(VLOOKUP(Patients!A172,Labs!A172:D371,4,0) &gt;120,"High","normal")</f>
        <v>normal</v>
      </c>
      <c r="O172" t="str">
        <f t="shared" si="5"/>
        <v>High Risk</v>
      </c>
    </row>
    <row r="173" spans="1:15" x14ac:dyDescent="0.3">
      <c r="A173">
        <v>172</v>
      </c>
      <c r="B173" t="s">
        <v>182</v>
      </c>
      <c r="C173">
        <v>84</v>
      </c>
      <c r="D173" t="s">
        <v>10</v>
      </c>
      <c r="E173">
        <v>10</v>
      </c>
      <c r="F173">
        <v>45717</v>
      </c>
      <c r="G173">
        <v>45719</v>
      </c>
      <c r="H173">
        <v>1</v>
      </c>
      <c r="I173">
        <v>2832</v>
      </c>
      <c r="J173" t="str">
        <f>VLOOKUP(Patients!E173,Diagnosis!$A$2:$B$11,2,0)</f>
        <v>Liver Disease</v>
      </c>
      <c r="K173" t="str">
        <f>VLOOKUP(Patients!H173,Outcomes!$A$2:$B$4,2,0)</f>
        <v>Recovered</v>
      </c>
      <c r="L173">
        <f t="shared" si="4"/>
        <v>2</v>
      </c>
      <c r="M173" t="str">
        <f>VLOOKUP(A173,Labs!A173:C372,3,0)</f>
        <v>Cholesterol</v>
      </c>
      <c r="N173" t="str">
        <f>IF(VLOOKUP(Patients!A173,Labs!A173:D372,4,0) &gt;120,"High","normal")</f>
        <v>High</v>
      </c>
      <c r="O173" t="str">
        <f t="shared" si="5"/>
        <v>High Risk</v>
      </c>
    </row>
    <row r="174" spans="1:15" x14ac:dyDescent="0.3">
      <c r="A174">
        <v>173</v>
      </c>
      <c r="B174" t="s">
        <v>183</v>
      </c>
      <c r="C174">
        <v>43</v>
      </c>
      <c r="D174" t="s">
        <v>10</v>
      </c>
      <c r="E174">
        <v>10</v>
      </c>
      <c r="F174">
        <v>45835</v>
      </c>
      <c r="G174">
        <v>45839</v>
      </c>
      <c r="H174">
        <v>3</v>
      </c>
      <c r="I174">
        <v>6408</v>
      </c>
      <c r="J174" t="str">
        <f>VLOOKUP(Patients!E174,Diagnosis!$A$2:$B$11,2,0)</f>
        <v>Liver Disease</v>
      </c>
      <c r="K174" t="str">
        <f>VLOOKUP(Patients!H174,Outcomes!$A$2:$B$4,2,0)</f>
        <v>Deceased</v>
      </c>
      <c r="L174">
        <f t="shared" si="4"/>
        <v>4</v>
      </c>
      <c r="M174" t="str">
        <f>VLOOKUP(A174,Labs!A174:C373,3,0)</f>
        <v>Vitamin D</v>
      </c>
      <c r="N174" t="str">
        <f>IF(VLOOKUP(Patients!A174,Labs!A174:D373,4,0) &gt;120,"High","normal")</f>
        <v>High</v>
      </c>
      <c r="O174" t="str">
        <f t="shared" si="5"/>
        <v>High Risk</v>
      </c>
    </row>
    <row r="175" spans="1:15" x14ac:dyDescent="0.3">
      <c r="A175">
        <v>174</v>
      </c>
      <c r="B175" t="s">
        <v>184</v>
      </c>
      <c r="C175">
        <v>68</v>
      </c>
      <c r="D175" t="s">
        <v>14</v>
      </c>
      <c r="E175">
        <v>3</v>
      </c>
      <c r="F175">
        <v>45685</v>
      </c>
      <c r="G175">
        <v>45792</v>
      </c>
      <c r="H175">
        <v>3</v>
      </c>
      <c r="I175">
        <v>4806</v>
      </c>
      <c r="J175" t="str">
        <f>VLOOKUP(Patients!E175,Diagnosis!$A$2:$B$11,2,0)</f>
        <v>Heart Disease</v>
      </c>
      <c r="K175" t="str">
        <f>VLOOKUP(Patients!H175,Outcomes!$A$2:$B$4,2,0)</f>
        <v>Deceased</v>
      </c>
      <c r="L175">
        <f t="shared" si="4"/>
        <v>107</v>
      </c>
      <c r="M175" t="str">
        <f>VLOOKUP(A175,Labs!A175:C374,3,0)</f>
        <v>Creatinine</v>
      </c>
      <c r="N175" t="str">
        <f>IF(VLOOKUP(Patients!A175,Labs!A175:D374,4,0) &gt;120,"High","normal")</f>
        <v>High</v>
      </c>
      <c r="O175" t="str">
        <f t="shared" si="5"/>
        <v>High Risk</v>
      </c>
    </row>
    <row r="176" spans="1:15" x14ac:dyDescent="0.3">
      <c r="A176">
        <v>175</v>
      </c>
      <c r="B176" t="s">
        <v>185</v>
      </c>
      <c r="C176">
        <v>56</v>
      </c>
      <c r="D176" t="s">
        <v>14</v>
      </c>
      <c r="E176">
        <v>10</v>
      </c>
      <c r="F176">
        <v>45758</v>
      </c>
      <c r="G176">
        <v>45768</v>
      </c>
      <c r="H176">
        <v>1</v>
      </c>
      <c r="I176">
        <v>7954</v>
      </c>
      <c r="J176" t="str">
        <f>VLOOKUP(Patients!E176,Diagnosis!$A$2:$B$11,2,0)</f>
        <v>Liver Disease</v>
      </c>
      <c r="K176" t="str">
        <f>VLOOKUP(Patients!H176,Outcomes!$A$2:$B$4,2,0)</f>
        <v>Recovered</v>
      </c>
      <c r="L176">
        <f t="shared" si="4"/>
        <v>10</v>
      </c>
      <c r="M176" t="str">
        <f>VLOOKUP(A176,Labs!A176:C375,3,0)</f>
        <v>Vitamin D</v>
      </c>
      <c r="N176" t="str">
        <f>IF(VLOOKUP(Patients!A176,Labs!A176:D375,4,0) &gt;120,"High","normal")</f>
        <v>High</v>
      </c>
      <c r="O176" t="str">
        <f t="shared" si="5"/>
        <v>Low Risk</v>
      </c>
    </row>
    <row r="177" spans="1:15" x14ac:dyDescent="0.3">
      <c r="A177">
        <v>176</v>
      </c>
      <c r="B177" t="s">
        <v>186</v>
      </c>
      <c r="C177">
        <v>38</v>
      </c>
      <c r="D177" t="s">
        <v>10</v>
      </c>
      <c r="E177">
        <v>1</v>
      </c>
      <c r="F177">
        <v>45698</v>
      </c>
      <c r="G177">
        <v>45704</v>
      </c>
      <c r="H177">
        <v>3</v>
      </c>
      <c r="I177">
        <v>8103</v>
      </c>
      <c r="J177" t="str">
        <f>VLOOKUP(Patients!E177,Diagnosis!$A$2:$B$11,2,0)</f>
        <v>Hypertension</v>
      </c>
      <c r="K177" t="str">
        <f>VLOOKUP(Patients!H177,Outcomes!$A$2:$B$4,2,0)</f>
        <v>Deceased</v>
      </c>
      <c r="L177">
        <f t="shared" si="4"/>
        <v>6</v>
      </c>
      <c r="M177" t="str">
        <f>VLOOKUP(A177,Labs!A177:C376,3,0)</f>
        <v>Blood Pressure</v>
      </c>
      <c r="N177" t="str">
        <f>IF(VLOOKUP(Patients!A177,Labs!A177:D376,4,0) &gt;120,"High","normal")</f>
        <v>High</v>
      </c>
      <c r="O177" t="str">
        <f t="shared" si="5"/>
        <v>High Risk</v>
      </c>
    </row>
    <row r="178" spans="1:15" x14ac:dyDescent="0.3">
      <c r="A178">
        <v>177</v>
      </c>
      <c r="B178" t="s">
        <v>187</v>
      </c>
      <c r="C178">
        <v>44</v>
      </c>
      <c r="D178" t="s">
        <v>14</v>
      </c>
      <c r="E178">
        <v>8</v>
      </c>
      <c r="F178">
        <v>45812</v>
      </c>
      <c r="G178">
        <v>45816</v>
      </c>
      <c r="H178">
        <v>1</v>
      </c>
      <c r="I178">
        <v>8102</v>
      </c>
      <c r="J178" t="str">
        <f>VLOOKUP(Patients!E178,Diagnosis!$A$2:$B$11,2,0)</f>
        <v>Arthritis</v>
      </c>
      <c r="K178" t="str">
        <f>VLOOKUP(Patients!H178,Outcomes!$A$2:$B$4,2,0)</f>
        <v>Recovered</v>
      </c>
      <c r="L178">
        <f t="shared" si="4"/>
        <v>4</v>
      </c>
      <c r="M178" t="str">
        <f>VLOOKUP(A178,Labs!A178:C377,3,0)</f>
        <v>Cholesterol</v>
      </c>
      <c r="N178" t="str">
        <f>IF(VLOOKUP(Patients!A178,Labs!A178:D377,4,0) &gt;120,"High","normal")</f>
        <v>normal</v>
      </c>
      <c r="O178" t="str">
        <f t="shared" si="5"/>
        <v>Low Risk</v>
      </c>
    </row>
    <row r="179" spans="1:15" x14ac:dyDescent="0.3">
      <c r="A179">
        <v>178</v>
      </c>
      <c r="B179" t="s">
        <v>188</v>
      </c>
      <c r="C179">
        <v>44</v>
      </c>
      <c r="D179" t="s">
        <v>14</v>
      </c>
      <c r="E179">
        <v>5</v>
      </c>
      <c r="F179">
        <v>45802</v>
      </c>
      <c r="G179">
        <v>45810</v>
      </c>
      <c r="H179">
        <v>1</v>
      </c>
      <c r="I179">
        <v>4490</v>
      </c>
      <c r="J179" t="str">
        <f>VLOOKUP(Patients!E179,Diagnosis!$A$2:$B$11,2,0)</f>
        <v>Stroke</v>
      </c>
      <c r="K179" t="str">
        <f>VLOOKUP(Patients!H179,Outcomes!$A$2:$B$4,2,0)</f>
        <v>Recovered</v>
      </c>
      <c r="L179">
        <f t="shared" si="4"/>
        <v>8</v>
      </c>
      <c r="M179" t="str">
        <f>VLOOKUP(A179,Labs!A179:C378,3,0)</f>
        <v>Blood Pressure</v>
      </c>
      <c r="N179" t="str">
        <f>IF(VLOOKUP(Patients!A179,Labs!A179:D378,4,0) &gt;120,"High","normal")</f>
        <v>High</v>
      </c>
      <c r="O179" t="str">
        <f t="shared" si="5"/>
        <v>Low Risk</v>
      </c>
    </row>
    <row r="180" spans="1:15" x14ac:dyDescent="0.3">
      <c r="A180">
        <v>179</v>
      </c>
      <c r="B180" t="s">
        <v>189</v>
      </c>
      <c r="C180">
        <v>55</v>
      </c>
      <c r="D180" t="s">
        <v>14</v>
      </c>
      <c r="E180">
        <v>4</v>
      </c>
      <c r="F180">
        <v>45818</v>
      </c>
      <c r="G180">
        <v>45825</v>
      </c>
      <c r="H180">
        <v>1</v>
      </c>
      <c r="I180">
        <v>7886</v>
      </c>
      <c r="J180" t="str">
        <f>VLOOKUP(Patients!E180,Diagnosis!$A$2:$B$11,2,0)</f>
        <v>Asthma</v>
      </c>
      <c r="K180" t="str">
        <f>VLOOKUP(Patients!H180,Outcomes!$A$2:$B$4,2,0)</f>
        <v>Recovered</v>
      </c>
      <c r="L180">
        <f t="shared" si="4"/>
        <v>7</v>
      </c>
      <c r="M180" t="str">
        <f>VLOOKUP(A180,Labs!A180:C379,3,0)</f>
        <v>Cholesterol</v>
      </c>
      <c r="N180" t="str">
        <f>IF(VLOOKUP(Patients!A180,Labs!A180:D379,4,0) &gt;120,"High","normal")</f>
        <v>High</v>
      </c>
      <c r="O180" t="str">
        <f t="shared" si="5"/>
        <v>Low Risk</v>
      </c>
    </row>
    <row r="181" spans="1:15" x14ac:dyDescent="0.3">
      <c r="A181">
        <v>180</v>
      </c>
      <c r="B181" t="s">
        <v>190</v>
      </c>
      <c r="C181">
        <v>71</v>
      </c>
      <c r="D181" t="s">
        <v>14</v>
      </c>
      <c r="E181">
        <v>8</v>
      </c>
      <c r="F181">
        <v>45814</v>
      </c>
      <c r="G181">
        <v>45822</v>
      </c>
      <c r="H181">
        <v>3</v>
      </c>
      <c r="I181">
        <v>2327</v>
      </c>
      <c r="J181" t="str">
        <f>VLOOKUP(Patients!E181,Diagnosis!$A$2:$B$11,2,0)</f>
        <v>Arthritis</v>
      </c>
      <c r="K181" t="str">
        <f>VLOOKUP(Patients!H181,Outcomes!$A$2:$B$4,2,0)</f>
        <v>Deceased</v>
      </c>
      <c r="L181">
        <f t="shared" si="4"/>
        <v>8</v>
      </c>
      <c r="M181" t="str">
        <f>VLOOKUP(A181,Labs!A181:C380,3,0)</f>
        <v>Blood Pressure</v>
      </c>
      <c r="N181" t="str">
        <f>IF(VLOOKUP(Patients!A181,Labs!A181:D380,4,0) &gt;120,"High","normal")</f>
        <v>High</v>
      </c>
      <c r="O181" t="str">
        <f t="shared" si="5"/>
        <v>High Risk</v>
      </c>
    </row>
    <row r="182" spans="1:15" x14ac:dyDescent="0.3">
      <c r="A182">
        <v>181</v>
      </c>
      <c r="B182" t="s">
        <v>191</v>
      </c>
      <c r="C182">
        <v>89</v>
      </c>
      <c r="D182" t="s">
        <v>10</v>
      </c>
      <c r="E182">
        <v>7</v>
      </c>
      <c r="F182">
        <v>45798</v>
      </c>
      <c r="G182">
        <v>45804</v>
      </c>
      <c r="H182">
        <v>1</v>
      </c>
      <c r="I182">
        <v>9221</v>
      </c>
      <c r="J182" t="str">
        <f>VLOOKUP(Patients!E182,Diagnosis!$A$2:$B$11,2,0)</f>
        <v>Cancer</v>
      </c>
      <c r="K182" t="str">
        <f>VLOOKUP(Patients!H182,Outcomes!$A$2:$B$4,2,0)</f>
        <v>Recovered</v>
      </c>
      <c r="L182">
        <f t="shared" si="4"/>
        <v>6</v>
      </c>
      <c r="M182" t="str">
        <f>VLOOKUP(A182,Labs!A182:C381,3,0)</f>
        <v>Vitamin D</v>
      </c>
      <c r="N182" t="str">
        <f>IF(VLOOKUP(Patients!A182,Labs!A182:D381,4,0) &gt;120,"High","normal")</f>
        <v>normal</v>
      </c>
      <c r="O182" t="str">
        <f t="shared" si="5"/>
        <v>High Risk</v>
      </c>
    </row>
    <row r="183" spans="1:15" x14ac:dyDescent="0.3">
      <c r="A183">
        <v>182</v>
      </c>
      <c r="B183" t="s">
        <v>192</v>
      </c>
      <c r="C183">
        <v>42</v>
      </c>
      <c r="D183" t="s">
        <v>14</v>
      </c>
      <c r="E183">
        <v>2</v>
      </c>
      <c r="F183">
        <v>45703</v>
      </c>
      <c r="G183">
        <v>45733</v>
      </c>
      <c r="H183">
        <v>2</v>
      </c>
      <c r="I183">
        <v>8904</v>
      </c>
      <c r="J183" t="str">
        <f>VLOOKUP(Patients!E183,Diagnosis!$A$2:$B$11,2,0)</f>
        <v>Diabetes</v>
      </c>
      <c r="K183" t="str">
        <f>VLOOKUP(Patients!H183,Outcomes!$A$2:$B$4,2,0)</f>
        <v>Complicated</v>
      </c>
      <c r="L183">
        <f t="shared" si="4"/>
        <v>30</v>
      </c>
      <c r="M183" t="str">
        <f>VLOOKUP(A183,Labs!A183:C382,3,0)</f>
        <v>Vitamin D</v>
      </c>
      <c r="N183" t="str">
        <f>IF(VLOOKUP(Patients!A183,Labs!A183:D382,4,0) &gt;120,"High","normal")</f>
        <v>High</v>
      </c>
      <c r="O183" t="str">
        <f t="shared" si="5"/>
        <v>High Risk</v>
      </c>
    </row>
    <row r="184" spans="1:15" x14ac:dyDescent="0.3">
      <c r="A184">
        <v>183</v>
      </c>
      <c r="B184" t="s">
        <v>193</v>
      </c>
      <c r="C184">
        <v>80</v>
      </c>
      <c r="D184" t="s">
        <v>14</v>
      </c>
      <c r="E184">
        <v>1</v>
      </c>
      <c r="F184">
        <v>45692</v>
      </c>
      <c r="G184">
        <v>45775</v>
      </c>
      <c r="H184">
        <v>3</v>
      </c>
      <c r="I184">
        <v>5310</v>
      </c>
      <c r="J184" t="str">
        <f>VLOOKUP(Patients!E184,Diagnosis!$A$2:$B$11,2,0)</f>
        <v>Hypertension</v>
      </c>
      <c r="K184" t="str">
        <f>VLOOKUP(Patients!H184,Outcomes!$A$2:$B$4,2,0)</f>
        <v>Deceased</v>
      </c>
      <c r="L184">
        <f t="shared" si="4"/>
        <v>83</v>
      </c>
      <c r="M184" t="str">
        <f>VLOOKUP(A184,Labs!A184:C383,3,0)</f>
        <v>Blood Sugar</v>
      </c>
      <c r="N184" t="str">
        <f>IF(VLOOKUP(Patients!A184,Labs!A184:D383,4,0) &gt;120,"High","normal")</f>
        <v>normal</v>
      </c>
      <c r="O184" t="str">
        <f t="shared" si="5"/>
        <v>High Risk</v>
      </c>
    </row>
    <row r="185" spans="1:15" x14ac:dyDescent="0.3">
      <c r="A185">
        <v>184</v>
      </c>
      <c r="B185" t="s">
        <v>194</v>
      </c>
      <c r="C185">
        <v>61</v>
      </c>
      <c r="D185" t="s">
        <v>10</v>
      </c>
      <c r="E185">
        <v>4</v>
      </c>
      <c r="F185">
        <v>45791</v>
      </c>
      <c r="G185">
        <v>45812</v>
      </c>
      <c r="H185">
        <v>3</v>
      </c>
      <c r="I185">
        <v>5300</v>
      </c>
      <c r="J185" t="str">
        <f>VLOOKUP(Patients!E185,Diagnosis!$A$2:$B$11,2,0)</f>
        <v>Asthma</v>
      </c>
      <c r="K185" t="str">
        <f>VLOOKUP(Patients!H185,Outcomes!$A$2:$B$4,2,0)</f>
        <v>Deceased</v>
      </c>
      <c r="L185">
        <f t="shared" si="4"/>
        <v>21</v>
      </c>
      <c r="M185" t="str">
        <f>VLOOKUP(A185,Labs!A185:C384,3,0)</f>
        <v>Creatinine</v>
      </c>
      <c r="N185" t="str">
        <f>IF(VLOOKUP(Patients!A185,Labs!A185:D384,4,0) &gt;120,"High","normal")</f>
        <v>normal</v>
      </c>
      <c r="O185" t="str">
        <f t="shared" si="5"/>
        <v>High Risk</v>
      </c>
    </row>
    <row r="186" spans="1:15" x14ac:dyDescent="0.3">
      <c r="A186">
        <v>185</v>
      </c>
      <c r="B186" t="s">
        <v>195</v>
      </c>
      <c r="C186">
        <v>68</v>
      </c>
      <c r="D186" t="s">
        <v>10</v>
      </c>
      <c r="E186">
        <v>8</v>
      </c>
      <c r="F186">
        <v>45739</v>
      </c>
      <c r="G186">
        <v>45777</v>
      </c>
      <c r="H186">
        <v>3</v>
      </c>
      <c r="I186">
        <v>8722</v>
      </c>
      <c r="J186" t="str">
        <f>VLOOKUP(Patients!E186,Diagnosis!$A$2:$B$11,2,0)</f>
        <v>Arthritis</v>
      </c>
      <c r="K186" t="str">
        <f>VLOOKUP(Patients!H186,Outcomes!$A$2:$B$4,2,0)</f>
        <v>Deceased</v>
      </c>
      <c r="L186">
        <f t="shared" si="4"/>
        <v>38</v>
      </c>
      <c r="M186" t="str">
        <f>VLOOKUP(A186,Labs!A186:C385,3,0)</f>
        <v>Blood Pressure</v>
      </c>
      <c r="N186" t="str">
        <f>IF(VLOOKUP(Patients!A186,Labs!A186:D385,4,0) &gt;120,"High","normal")</f>
        <v>normal</v>
      </c>
      <c r="O186" t="str">
        <f t="shared" si="5"/>
        <v>High Risk</v>
      </c>
    </row>
    <row r="187" spans="1:15" x14ac:dyDescent="0.3">
      <c r="A187">
        <v>186</v>
      </c>
      <c r="B187" t="s">
        <v>196</v>
      </c>
      <c r="C187">
        <v>78</v>
      </c>
      <c r="D187" t="s">
        <v>14</v>
      </c>
      <c r="E187">
        <v>2</v>
      </c>
      <c r="F187">
        <v>45772</v>
      </c>
      <c r="G187">
        <v>45777</v>
      </c>
      <c r="H187">
        <v>3</v>
      </c>
      <c r="I187">
        <v>9218</v>
      </c>
      <c r="J187" t="str">
        <f>VLOOKUP(Patients!E187,Diagnosis!$A$2:$B$11,2,0)</f>
        <v>Diabetes</v>
      </c>
      <c r="K187" t="str">
        <f>VLOOKUP(Patients!H187,Outcomes!$A$2:$B$4,2,0)</f>
        <v>Deceased</v>
      </c>
      <c r="L187">
        <f t="shared" si="4"/>
        <v>5</v>
      </c>
      <c r="M187" t="str">
        <f>VLOOKUP(A187,Labs!A187:C386,3,0)</f>
        <v>Hemoglobin</v>
      </c>
      <c r="N187" t="str">
        <f>IF(VLOOKUP(Patients!A187,Labs!A187:D386,4,0) &gt;120,"High","normal")</f>
        <v>High</v>
      </c>
      <c r="O187" t="str">
        <f t="shared" si="5"/>
        <v>High Risk</v>
      </c>
    </row>
    <row r="188" spans="1:15" x14ac:dyDescent="0.3">
      <c r="A188">
        <v>187</v>
      </c>
      <c r="B188" t="s">
        <v>197</v>
      </c>
      <c r="C188">
        <v>81</v>
      </c>
      <c r="D188" t="s">
        <v>14</v>
      </c>
      <c r="E188">
        <v>3</v>
      </c>
      <c r="F188">
        <v>45704</v>
      </c>
      <c r="G188">
        <v>45707</v>
      </c>
      <c r="H188">
        <v>2</v>
      </c>
      <c r="I188">
        <v>9776</v>
      </c>
      <c r="J188" t="str">
        <f>VLOOKUP(Patients!E188,Diagnosis!$A$2:$B$11,2,0)</f>
        <v>Heart Disease</v>
      </c>
      <c r="K188" t="str">
        <f>VLOOKUP(Patients!H188,Outcomes!$A$2:$B$4,2,0)</f>
        <v>Complicated</v>
      </c>
      <c r="L188">
        <f t="shared" si="4"/>
        <v>3</v>
      </c>
      <c r="M188" t="str">
        <f>VLOOKUP(A188,Labs!A188:C387,3,0)</f>
        <v>Blood Sugar</v>
      </c>
      <c r="N188" t="str">
        <f>IF(VLOOKUP(Patients!A188,Labs!A188:D387,4,0) &gt;120,"High","normal")</f>
        <v>High</v>
      </c>
      <c r="O188" t="str">
        <f t="shared" si="5"/>
        <v>High Risk</v>
      </c>
    </row>
    <row r="189" spans="1:15" x14ac:dyDescent="0.3">
      <c r="A189">
        <v>188</v>
      </c>
      <c r="B189" t="s">
        <v>198</v>
      </c>
      <c r="C189">
        <v>61</v>
      </c>
      <c r="D189" t="s">
        <v>14</v>
      </c>
      <c r="E189">
        <v>1</v>
      </c>
      <c r="F189">
        <v>45810</v>
      </c>
      <c r="G189">
        <v>45815</v>
      </c>
      <c r="H189">
        <v>3</v>
      </c>
      <c r="I189">
        <v>5675</v>
      </c>
      <c r="J189" t="str">
        <f>VLOOKUP(Patients!E189,Diagnosis!$A$2:$B$11,2,0)</f>
        <v>Hypertension</v>
      </c>
      <c r="K189" t="str">
        <f>VLOOKUP(Patients!H189,Outcomes!$A$2:$B$4,2,0)</f>
        <v>Deceased</v>
      </c>
      <c r="L189">
        <f t="shared" si="4"/>
        <v>5</v>
      </c>
      <c r="M189" t="str">
        <f>VLOOKUP(A189,Labs!A189:C388,3,0)</f>
        <v>Blood Pressure</v>
      </c>
      <c r="N189" t="str">
        <f>IF(VLOOKUP(Patients!A189,Labs!A189:D388,4,0) &gt;120,"High","normal")</f>
        <v>High</v>
      </c>
      <c r="O189" t="str">
        <f t="shared" si="5"/>
        <v>High Risk</v>
      </c>
    </row>
    <row r="190" spans="1:15" x14ac:dyDescent="0.3">
      <c r="A190">
        <v>189</v>
      </c>
      <c r="B190" t="s">
        <v>199</v>
      </c>
      <c r="C190">
        <v>33</v>
      </c>
      <c r="D190" t="s">
        <v>14</v>
      </c>
      <c r="E190">
        <v>1</v>
      </c>
      <c r="F190">
        <v>45667</v>
      </c>
      <c r="G190">
        <v>45674</v>
      </c>
      <c r="H190">
        <v>3</v>
      </c>
      <c r="I190">
        <v>5054</v>
      </c>
      <c r="J190" t="str">
        <f>VLOOKUP(Patients!E190,Diagnosis!$A$2:$B$11,2,0)</f>
        <v>Hypertension</v>
      </c>
      <c r="K190" t="str">
        <f>VLOOKUP(Patients!H190,Outcomes!$A$2:$B$4,2,0)</f>
        <v>Deceased</v>
      </c>
      <c r="L190">
        <f t="shared" si="4"/>
        <v>7</v>
      </c>
      <c r="M190" t="str">
        <f>VLOOKUP(A190,Labs!A190:C389,3,0)</f>
        <v>Blood Pressure</v>
      </c>
      <c r="N190" t="str">
        <f>IF(VLOOKUP(Patients!A190,Labs!A190:D389,4,0) &gt;120,"High","normal")</f>
        <v>High</v>
      </c>
      <c r="O190" t="str">
        <f t="shared" si="5"/>
        <v>High Risk</v>
      </c>
    </row>
    <row r="191" spans="1:15" x14ac:dyDescent="0.3">
      <c r="A191">
        <v>190</v>
      </c>
      <c r="B191" t="s">
        <v>200</v>
      </c>
      <c r="C191">
        <v>59</v>
      </c>
      <c r="D191" t="s">
        <v>14</v>
      </c>
      <c r="E191">
        <v>3</v>
      </c>
      <c r="F191">
        <v>45713</v>
      </c>
      <c r="G191">
        <v>45834</v>
      </c>
      <c r="H191">
        <v>1</v>
      </c>
      <c r="I191">
        <v>7383</v>
      </c>
      <c r="J191" t="str">
        <f>VLOOKUP(Patients!E191,Diagnosis!$A$2:$B$11,2,0)</f>
        <v>Heart Disease</v>
      </c>
      <c r="K191" t="str">
        <f>VLOOKUP(Patients!H191,Outcomes!$A$2:$B$4,2,0)</f>
        <v>Recovered</v>
      </c>
      <c r="L191">
        <f t="shared" si="4"/>
        <v>121</v>
      </c>
      <c r="M191" t="str">
        <f>VLOOKUP(A191,Labs!A191:C390,3,0)</f>
        <v>Blood Sugar</v>
      </c>
      <c r="N191" t="str">
        <f>IF(VLOOKUP(Patients!A191,Labs!A191:D390,4,0) &gt;120,"High","normal")</f>
        <v>High</v>
      </c>
      <c r="O191" t="str">
        <f t="shared" si="5"/>
        <v>Low Risk</v>
      </c>
    </row>
    <row r="192" spans="1:15" x14ac:dyDescent="0.3">
      <c r="A192">
        <v>191</v>
      </c>
      <c r="B192" t="s">
        <v>201</v>
      </c>
      <c r="C192">
        <v>66</v>
      </c>
      <c r="D192" t="s">
        <v>14</v>
      </c>
      <c r="E192">
        <v>5</v>
      </c>
      <c r="F192">
        <v>45687</v>
      </c>
      <c r="G192">
        <v>45779</v>
      </c>
      <c r="H192">
        <v>3</v>
      </c>
      <c r="I192">
        <v>9585</v>
      </c>
      <c r="J192" t="str">
        <f>VLOOKUP(Patients!E192,Diagnosis!$A$2:$B$11,2,0)</f>
        <v>Stroke</v>
      </c>
      <c r="K192" t="str">
        <f>VLOOKUP(Patients!H192,Outcomes!$A$2:$B$4,2,0)</f>
        <v>Deceased</v>
      </c>
      <c r="L192">
        <f t="shared" si="4"/>
        <v>92</v>
      </c>
      <c r="M192" t="str">
        <f>VLOOKUP(A192,Labs!A192:C391,3,0)</f>
        <v>Vitamin D</v>
      </c>
      <c r="N192" t="str">
        <f>IF(VLOOKUP(Patients!A192,Labs!A192:D391,4,0) &gt;120,"High","normal")</f>
        <v>High</v>
      </c>
      <c r="O192" t="str">
        <f t="shared" si="5"/>
        <v>High Risk</v>
      </c>
    </row>
    <row r="193" spans="1:15" x14ac:dyDescent="0.3">
      <c r="A193">
        <v>192</v>
      </c>
      <c r="B193" t="s">
        <v>202</v>
      </c>
      <c r="C193">
        <v>52</v>
      </c>
      <c r="D193" t="s">
        <v>10</v>
      </c>
      <c r="E193">
        <v>3</v>
      </c>
      <c r="F193">
        <v>45766</v>
      </c>
      <c r="G193">
        <v>45769</v>
      </c>
      <c r="H193">
        <v>2</v>
      </c>
      <c r="I193">
        <v>9970</v>
      </c>
      <c r="J193" t="str">
        <f>VLOOKUP(Patients!E193,Diagnosis!$A$2:$B$11,2,0)</f>
        <v>Heart Disease</v>
      </c>
      <c r="K193" t="str">
        <f>VLOOKUP(Patients!H193,Outcomes!$A$2:$B$4,2,0)</f>
        <v>Complicated</v>
      </c>
      <c r="L193">
        <f t="shared" si="4"/>
        <v>3</v>
      </c>
      <c r="M193" t="str">
        <f>VLOOKUP(A193,Labs!A193:C392,3,0)</f>
        <v>Blood Pressure</v>
      </c>
      <c r="N193" t="str">
        <f>IF(VLOOKUP(Patients!A193,Labs!A193:D392,4,0) &gt;120,"High","normal")</f>
        <v>High</v>
      </c>
      <c r="O193" t="str">
        <f t="shared" si="5"/>
        <v>High Risk</v>
      </c>
    </row>
    <row r="194" spans="1:15" x14ac:dyDescent="0.3">
      <c r="A194">
        <v>193</v>
      </c>
      <c r="B194" t="s">
        <v>203</v>
      </c>
      <c r="C194">
        <v>68</v>
      </c>
      <c r="D194" t="s">
        <v>14</v>
      </c>
      <c r="E194">
        <v>1</v>
      </c>
      <c r="F194">
        <v>45662</v>
      </c>
      <c r="G194">
        <v>45708</v>
      </c>
      <c r="H194">
        <v>2</v>
      </c>
      <c r="I194">
        <v>4143</v>
      </c>
      <c r="J194" t="str">
        <f>VLOOKUP(Patients!E194,Diagnosis!$A$2:$B$11,2,0)</f>
        <v>Hypertension</v>
      </c>
      <c r="K194" t="str">
        <f>VLOOKUP(Patients!H194,Outcomes!$A$2:$B$4,2,0)</f>
        <v>Complicated</v>
      </c>
      <c r="L194">
        <f t="shared" si="4"/>
        <v>46</v>
      </c>
      <c r="M194" t="str">
        <f>VLOOKUP(A194,Labs!A194:C393,3,0)</f>
        <v>Vitamin D</v>
      </c>
      <c r="N194" t="str">
        <f>IF(VLOOKUP(Patients!A194,Labs!A194:D393,4,0) &gt;120,"High","normal")</f>
        <v>High</v>
      </c>
      <c r="O194" t="str">
        <f t="shared" si="5"/>
        <v>High Risk</v>
      </c>
    </row>
    <row r="195" spans="1:15" x14ac:dyDescent="0.3">
      <c r="A195">
        <v>194</v>
      </c>
      <c r="B195" t="s">
        <v>204</v>
      </c>
      <c r="C195">
        <v>74</v>
      </c>
      <c r="D195" t="s">
        <v>14</v>
      </c>
      <c r="E195">
        <v>1</v>
      </c>
      <c r="F195">
        <v>45776</v>
      </c>
      <c r="G195">
        <v>45835</v>
      </c>
      <c r="H195">
        <v>2</v>
      </c>
      <c r="I195">
        <v>7207</v>
      </c>
      <c r="J195" t="str">
        <f>VLOOKUP(Patients!E195,Diagnosis!$A$2:$B$11,2,0)</f>
        <v>Hypertension</v>
      </c>
      <c r="K195" t="str">
        <f>VLOOKUP(Patients!H195,Outcomes!$A$2:$B$4,2,0)</f>
        <v>Complicated</v>
      </c>
      <c r="L195">
        <f t="shared" ref="L195:L201" si="6">DATEDIF(F195,G195,"d")</f>
        <v>59</v>
      </c>
      <c r="M195" t="str">
        <f>VLOOKUP(A195,Labs!A195:C394,3,0)</f>
        <v>Blood Sugar</v>
      </c>
      <c r="N195" t="str">
        <f>IF(VLOOKUP(Patients!A195,Labs!A195:D394,4,0) &gt;120,"High","normal")</f>
        <v>normal</v>
      </c>
      <c r="O195" t="str">
        <f t="shared" ref="O195:O201" si="7">IF(OR(C195&gt;65,H195&gt;1),"High Risk","Low Risk")</f>
        <v>High Risk</v>
      </c>
    </row>
    <row r="196" spans="1:15" x14ac:dyDescent="0.3">
      <c r="A196">
        <v>195</v>
      </c>
      <c r="B196" t="s">
        <v>205</v>
      </c>
      <c r="C196">
        <v>44</v>
      </c>
      <c r="D196" t="s">
        <v>10</v>
      </c>
      <c r="E196">
        <v>8</v>
      </c>
      <c r="F196">
        <v>45690</v>
      </c>
      <c r="G196">
        <v>45767</v>
      </c>
      <c r="H196">
        <v>2</v>
      </c>
      <c r="I196">
        <v>9245</v>
      </c>
      <c r="J196" t="str">
        <f>VLOOKUP(Patients!E196,Diagnosis!$A$2:$B$11,2,0)</f>
        <v>Arthritis</v>
      </c>
      <c r="K196" t="str">
        <f>VLOOKUP(Patients!H196,Outcomes!$A$2:$B$4,2,0)</f>
        <v>Complicated</v>
      </c>
      <c r="L196">
        <f t="shared" si="6"/>
        <v>77</v>
      </c>
      <c r="M196" t="str">
        <f>VLOOKUP(A196,Labs!A196:C395,3,0)</f>
        <v>Vitamin D</v>
      </c>
      <c r="N196" t="str">
        <f>IF(VLOOKUP(Patients!A196,Labs!A196:D395,4,0) &gt;120,"High","normal")</f>
        <v>High</v>
      </c>
      <c r="O196" t="str">
        <f t="shared" si="7"/>
        <v>High Risk</v>
      </c>
    </row>
    <row r="197" spans="1:15" x14ac:dyDescent="0.3">
      <c r="A197">
        <v>196</v>
      </c>
      <c r="B197" t="s">
        <v>206</v>
      </c>
      <c r="C197">
        <v>72</v>
      </c>
      <c r="D197" t="s">
        <v>10</v>
      </c>
      <c r="E197">
        <v>10</v>
      </c>
      <c r="F197">
        <v>45775</v>
      </c>
      <c r="G197">
        <v>45779</v>
      </c>
      <c r="H197">
        <v>3</v>
      </c>
      <c r="I197">
        <v>3311</v>
      </c>
      <c r="J197" t="str">
        <f>VLOOKUP(Patients!E197,Diagnosis!$A$2:$B$11,2,0)</f>
        <v>Liver Disease</v>
      </c>
      <c r="K197" t="str">
        <f>VLOOKUP(Patients!H197,Outcomes!$A$2:$B$4,2,0)</f>
        <v>Deceased</v>
      </c>
      <c r="L197">
        <f t="shared" si="6"/>
        <v>4</v>
      </c>
      <c r="M197" t="str">
        <f>VLOOKUP(A197,Labs!A197:C396,3,0)</f>
        <v>Cholesterol</v>
      </c>
      <c r="N197" t="str">
        <f>IF(VLOOKUP(Patients!A197,Labs!A197:D396,4,0) &gt;120,"High","normal")</f>
        <v>High</v>
      </c>
      <c r="O197" t="str">
        <f t="shared" si="7"/>
        <v>High Risk</v>
      </c>
    </row>
    <row r="198" spans="1:15" x14ac:dyDescent="0.3">
      <c r="A198">
        <v>197</v>
      </c>
      <c r="B198" t="s">
        <v>207</v>
      </c>
      <c r="C198">
        <v>58</v>
      </c>
      <c r="D198" t="s">
        <v>10</v>
      </c>
      <c r="E198">
        <v>2</v>
      </c>
      <c r="F198">
        <v>45722</v>
      </c>
      <c r="G198">
        <v>45846</v>
      </c>
      <c r="H198">
        <v>3</v>
      </c>
      <c r="I198">
        <v>5191</v>
      </c>
      <c r="J198" t="str">
        <f>VLOOKUP(Patients!E198,Diagnosis!$A$2:$B$11,2,0)</f>
        <v>Diabetes</v>
      </c>
      <c r="K198" t="str">
        <f>VLOOKUP(Patients!H198,Outcomes!$A$2:$B$4,2,0)</f>
        <v>Deceased</v>
      </c>
      <c r="L198">
        <f t="shared" si="6"/>
        <v>124</v>
      </c>
      <c r="M198" t="str">
        <f>VLOOKUP(A198,Labs!A198:C397,3,0)</f>
        <v>Hemoglobin</v>
      </c>
      <c r="N198" t="str">
        <f>IF(VLOOKUP(Patients!A198,Labs!A198:D397,4,0) &gt;120,"High","normal")</f>
        <v>High</v>
      </c>
      <c r="O198" t="str">
        <f t="shared" si="7"/>
        <v>High Risk</v>
      </c>
    </row>
    <row r="199" spans="1:15" x14ac:dyDescent="0.3">
      <c r="A199">
        <v>198</v>
      </c>
      <c r="B199" t="s">
        <v>208</v>
      </c>
      <c r="C199">
        <v>65</v>
      </c>
      <c r="D199" t="s">
        <v>10</v>
      </c>
      <c r="E199">
        <v>3</v>
      </c>
      <c r="F199">
        <v>45803</v>
      </c>
      <c r="G199">
        <v>45812</v>
      </c>
      <c r="H199">
        <v>2</v>
      </c>
      <c r="I199">
        <v>8957</v>
      </c>
      <c r="J199" t="str">
        <f>VLOOKUP(Patients!E199,Diagnosis!$A$2:$B$11,2,0)</f>
        <v>Heart Disease</v>
      </c>
      <c r="K199" t="str">
        <f>VLOOKUP(Patients!H199,Outcomes!$A$2:$B$4,2,0)</f>
        <v>Complicated</v>
      </c>
      <c r="L199">
        <f t="shared" si="6"/>
        <v>9</v>
      </c>
      <c r="M199" t="str">
        <f>VLOOKUP(A199,Labs!A199:C398,3,0)</f>
        <v>Blood Pressure</v>
      </c>
      <c r="N199" t="str">
        <f>IF(VLOOKUP(Patients!A199,Labs!A199:D398,4,0) &gt;120,"High","normal")</f>
        <v>High</v>
      </c>
      <c r="O199" t="str">
        <f t="shared" si="7"/>
        <v>High Risk</v>
      </c>
    </row>
    <row r="200" spans="1:15" x14ac:dyDescent="0.3">
      <c r="A200">
        <v>199</v>
      </c>
      <c r="B200" t="s">
        <v>209</v>
      </c>
      <c r="C200">
        <v>42</v>
      </c>
      <c r="D200" t="s">
        <v>14</v>
      </c>
      <c r="E200">
        <v>2</v>
      </c>
      <c r="F200">
        <v>45834</v>
      </c>
      <c r="G200">
        <v>45843</v>
      </c>
      <c r="H200">
        <v>2</v>
      </c>
      <c r="I200">
        <v>4538</v>
      </c>
      <c r="J200" t="str">
        <f>VLOOKUP(Patients!E200,Diagnosis!$A$2:$B$11,2,0)</f>
        <v>Diabetes</v>
      </c>
      <c r="K200" t="str">
        <f>VLOOKUP(Patients!H200,Outcomes!$A$2:$B$4,2,0)</f>
        <v>Complicated</v>
      </c>
      <c r="L200">
        <f t="shared" si="6"/>
        <v>9</v>
      </c>
      <c r="M200" t="str">
        <f>VLOOKUP(A200,Labs!A200:C399,3,0)</f>
        <v>Creatinine</v>
      </c>
      <c r="N200" t="str">
        <f>IF(VLOOKUP(Patients!A200,Labs!A200:D399,4,0) &gt;120,"High","normal")</f>
        <v>High</v>
      </c>
      <c r="O200" t="str">
        <f t="shared" si="7"/>
        <v>High Risk</v>
      </c>
    </row>
    <row r="201" spans="1:15" x14ac:dyDescent="0.3">
      <c r="A201">
        <v>200</v>
      </c>
      <c r="B201" t="s">
        <v>210</v>
      </c>
      <c r="C201">
        <v>61</v>
      </c>
      <c r="D201" t="s">
        <v>14</v>
      </c>
      <c r="E201">
        <v>3</v>
      </c>
      <c r="F201">
        <v>45668</v>
      </c>
      <c r="G201">
        <v>45725</v>
      </c>
      <c r="H201">
        <v>3</v>
      </c>
      <c r="I201">
        <v>5983</v>
      </c>
      <c r="J201" t="str">
        <f>VLOOKUP(Patients!E201,Diagnosis!$A$2:$B$11,2,0)</f>
        <v>Heart Disease</v>
      </c>
      <c r="K201" t="str">
        <f>VLOOKUP(Patients!H201,Outcomes!$A$2:$B$4,2,0)</f>
        <v>Deceased</v>
      </c>
      <c r="L201">
        <f t="shared" si="6"/>
        <v>57</v>
      </c>
      <c r="M201" t="str">
        <f>VLOOKUP(A201,Labs!A201:C400,3,0)</f>
        <v>Hemoglobin</v>
      </c>
      <c r="N201" t="str">
        <f>IF(VLOOKUP(Patients!A201,Labs!A201:D400,4,0) &gt;120,"High","normal")</f>
        <v>High</v>
      </c>
      <c r="O201" t="str">
        <f t="shared" si="7"/>
        <v>High Risk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4A18C-909A-4D12-B67D-11D8D859F166}">
  <dimension ref="A1:I12"/>
  <sheetViews>
    <sheetView workbookViewId="0">
      <selection activeCell="N23" sqref="N23"/>
    </sheetView>
  </sheetViews>
  <sheetFormatPr defaultRowHeight="14.4" x14ac:dyDescent="0.3"/>
  <cols>
    <col min="1" max="1" width="10.44140625" bestFit="1" customWidth="1"/>
    <col min="2" max="2" width="13.6640625" bestFit="1" customWidth="1"/>
    <col min="8" max="8" width="13.109375" bestFit="1" customWidth="1"/>
    <col min="9" max="9" width="18.6640625" bestFit="1" customWidth="1"/>
  </cols>
  <sheetData>
    <row r="1" spans="1:9" x14ac:dyDescent="0.3">
      <c r="A1" t="s">
        <v>4</v>
      </c>
      <c r="B1" t="s">
        <v>211</v>
      </c>
      <c r="H1" s="1" t="s">
        <v>247</v>
      </c>
      <c r="I1" t="s">
        <v>251</v>
      </c>
    </row>
    <row r="2" spans="1:9" x14ac:dyDescent="0.3">
      <c r="A2">
        <v>1</v>
      </c>
      <c r="B2" t="s">
        <v>212</v>
      </c>
      <c r="H2" s="2" t="s">
        <v>219</v>
      </c>
      <c r="I2" s="3">
        <v>1</v>
      </c>
    </row>
    <row r="3" spans="1:9" x14ac:dyDescent="0.3">
      <c r="A3">
        <v>2</v>
      </c>
      <c r="B3" t="s">
        <v>213</v>
      </c>
      <c r="H3" s="2" t="s">
        <v>215</v>
      </c>
      <c r="I3" s="3">
        <v>1</v>
      </c>
    </row>
    <row r="4" spans="1:9" x14ac:dyDescent="0.3">
      <c r="A4">
        <v>3</v>
      </c>
      <c r="B4" t="s">
        <v>214</v>
      </c>
      <c r="H4" s="2" t="s">
        <v>218</v>
      </c>
      <c r="I4" s="3">
        <v>1</v>
      </c>
    </row>
    <row r="5" spans="1:9" x14ac:dyDescent="0.3">
      <c r="A5">
        <v>4</v>
      </c>
      <c r="B5" t="s">
        <v>215</v>
      </c>
      <c r="H5" s="2" t="s">
        <v>217</v>
      </c>
      <c r="I5" s="3">
        <v>1</v>
      </c>
    </row>
    <row r="6" spans="1:9" x14ac:dyDescent="0.3">
      <c r="A6">
        <v>5</v>
      </c>
      <c r="B6" t="s">
        <v>216</v>
      </c>
      <c r="H6" s="2" t="s">
        <v>213</v>
      </c>
      <c r="I6" s="3">
        <v>1</v>
      </c>
    </row>
    <row r="7" spans="1:9" x14ac:dyDescent="0.3">
      <c r="A7">
        <v>6</v>
      </c>
      <c r="B7" t="s">
        <v>217</v>
      </c>
      <c r="H7" s="2" t="s">
        <v>214</v>
      </c>
      <c r="I7" s="3">
        <v>1</v>
      </c>
    </row>
    <row r="8" spans="1:9" x14ac:dyDescent="0.3">
      <c r="A8">
        <v>7</v>
      </c>
      <c r="B8" t="s">
        <v>218</v>
      </c>
      <c r="H8" s="2" t="s">
        <v>212</v>
      </c>
      <c r="I8" s="3">
        <v>1</v>
      </c>
    </row>
    <row r="9" spans="1:9" x14ac:dyDescent="0.3">
      <c r="A9">
        <v>8</v>
      </c>
      <c r="B9" t="s">
        <v>219</v>
      </c>
      <c r="H9" s="2" t="s">
        <v>220</v>
      </c>
      <c r="I9" s="3">
        <v>1</v>
      </c>
    </row>
    <row r="10" spans="1:9" x14ac:dyDescent="0.3">
      <c r="A10">
        <v>9</v>
      </c>
      <c r="B10" t="s">
        <v>220</v>
      </c>
      <c r="H10" s="2" t="s">
        <v>221</v>
      </c>
      <c r="I10" s="3">
        <v>1</v>
      </c>
    </row>
    <row r="11" spans="1:9" x14ac:dyDescent="0.3">
      <c r="A11">
        <v>10</v>
      </c>
      <c r="B11" t="s">
        <v>221</v>
      </c>
      <c r="H11" s="2" t="s">
        <v>216</v>
      </c>
      <c r="I11" s="3">
        <v>1</v>
      </c>
    </row>
    <row r="12" spans="1:9" x14ac:dyDescent="0.3">
      <c r="H12" s="2" t="s">
        <v>248</v>
      </c>
      <c r="I12" s="3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35EA1-E964-4562-B645-C6CB60D17873}">
  <dimension ref="A1:B4"/>
  <sheetViews>
    <sheetView workbookViewId="0">
      <selection activeCell="B1" sqref="B1"/>
    </sheetView>
  </sheetViews>
  <sheetFormatPr defaultRowHeight="14.4" x14ac:dyDescent="0.3"/>
  <cols>
    <col min="1" max="1" width="10.33203125" bestFit="1" customWidth="1"/>
    <col min="2" max="2" width="13.5546875" bestFit="1" customWidth="1"/>
  </cols>
  <sheetData>
    <row r="1" spans="1:2" x14ac:dyDescent="0.3">
      <c r="A1" t="s">
        <v>7</v>
      </c>
      <c r="B1" t="s">
        <v>222</v>
      </c>
    </row>
    <row r="2" spans="1:2" x14ac:dyDescent="0.3">
      <c r="A2">
        <v>1</v>
      </c>
      <c r="B2" t="s">
        <v>223</v>
      </c>
    </row>
    <row r="3" spans="1:2" x14ac:dyDescent="0.3">
      <c r="A3">
        <v>2</v>
      </c>
      <c r="B3" t="s">
        <v>224</v>
      </c>
    </row>
    <row r="4" spans="1:2" x14ac:dyDescent="0.3">
      <c r="A4">
        <v>3</v>
      </c>
      <c r="B4" t="s">
        <v>225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6543A-2AAE-49B2-AFF5-BB5C1373D7FC}">
  <dimension ref="A1:E201"/>
  <sheetViews>
    <sheetView topLeftCell="A177" workbookViewId="0">
      <selection activeCell="C18" sqref="C18"/>
    </sheetView>
  </sheetViews>
  <sheetFormatPr defaultRowHeight="14.4" x14ac:dyDescent="0.3"/>
  <cols>
    <col min="1" max="1" width="5.6640625" bestFit="1" customWidth="1"/>
    <col min="2" max="2" width="8.5546875" bestFit="1" customWidth="1"/>
    <col min="3" max="3" width="13.21875" bestFit="1" customWidth="1"/>
    <col min="4" max="4" width="6" bestFit="1" customWidth="1"/>
    <col min="5" max="5" width="12.109375" bestFit="1" customWidth="1"/>
  </cols>
  <sheetData>
    <row r="1" spans="1:5" x14ac:dyDescent="0.3">
      <c r="A1" t="s">
        <v>226</v>
      </c>
      <c r="B1" t="s">
        <v>0</v>
      </c>
      <c r="C1" t="s">
        <v>227</v>
      </c>
      <c r="D1" t="s">
        <v>228</v>
      </c>
      <c r="E1" t="s">
        <v>229</v>
      </c>
    </row>
    <row r="2" spans="1:5" x14ac:dyDescent="0.3">
      <c r="A2">
        <v>1</v>
      </c>
      <c r="B2">
        <v>196</v>
      </c>
      <c r="C2" t="s">
        <v>230</v>
      </c>
      <c r="D2">
        <v>89.7</v>
      </c>
      <c r="E2" t="s">
        <v>231</v>
      </c>
    </row>
    <row r="3" spans="1:5" x14ac:dyDescent="0.3">
      <c r="A3">
        <v>2</v>
      </c>
      <c r="B3">
        <v>165</v>
      </c>
      <c r="C3" t="s">
        <v>232</v>
      </c>
      <c r="D3">
        <v>270.2</v>
      </c>
      <c r="E3" t="s">
        <v>233</v>
      </c>
    </row>
    <row r="4" spans="1:5" x14ac:dyDescent="0.3">
      <c r="A4">
        <v>3</v>
      </c>
      <c r="B4">
        <v>182</v>
      </c>
      <c r="C4" t="s">
        <v>230</v>
      </c>
      <c r="D4">
        <v>268</v>
      </c>
      <c r="E4" t="s">
        <v>234</v>
      </c>
    </row>
    <row r="5" spans="1:5" x14ac:dyDescent="0.3">
      <c r="A5">
        <v>4</v>
      </c>
      <c r="B5">
        <v>142</v>
      </c>
      <c r="C5" t="s">
        <v>232</v>
      </c>
      <c r="D5">
        <v>57.3</v>
      </c>
      <c r="E5" t="s">
        <v>231</v>
      </c>
    </row>
    <row r="6" spans="1:5" x14ac:dyDescent="0.3">
      <c r="A6">
        <v>5</v>
      </c>
      <c r="B6">
        <v>55</v>
      </c>
      <c r="C6" t="s">
        <v>235</v>
      </c>
      <c r="D6">
        <v>256.5</v>
      </c>
      <c r="E6" t="s">
        <v>236</v>
      </c>
    </row>
    <row r="7" spans="1:5" x14ac:dyDescent="0.3">
      <c r="A7">
        <v>6</v>
      </c>
      <c r="B7">
        <v>176</v>
      </c>
      <c r="C7" t="s">
        <v>237</v>
      </c>
      <c r="D7">
        <v>82.2</v>
      </c>
      <c r="E7" t="s">
        <v>236</v>
      </c>
    </row>
    <row r="8" spans="1:5" x14ac:dyDescent="0.3">
      <c r="A8">
        <v>7</v>
      </c>
      <c r="B8">
        <v>7</v>
      </c>
      <c r="C8" t="s">
        <v>230</v>
      </c>
      <c r="D8">
        <v>133.80000000000001</v>
      </c>
      <c r="E8" t="s">
        <v>231</v>
      </c>
    </row>
    <row r="9" spans="1:5" x14ac:dyDescent="0.3">
      <c r="A9">
        <v>8</v>
      </c>
      <c r="B9">
        <v>74</v>
      </c>
      <c r="C9" t="s">
        <v>238</v>
      </c>
      <c r="D9">
        <v>235.9</v>
      </c>
      <c r="E9" t="s">
        <v>234</v>
      </c>
    </row>
    <row r="10" spans="1:5" x14ac:dyDescent="0.3">
      <c r="A10">
        <v>9</v>
      </c>
      <c r="B10">
        <v>7</v>
      </c>
      <c r="C10" t="s">
        <v>238</v>
      </c>
      <c r="D10">
        <v>90.2</v>
      </c>
      <c r="E10" t="s">
        <v>239</v>
      </c>
    </row>
    <row r="11" spans="1:5" x14ac:dyDescent="0.3">
      <c r="A11">
        <v>10</v>
      </c>
      <c r="B11">
        <v>161</v>
      </c>
      <c r="C11" t="s">
        <v>240</v>
      </c>
      <c r="D11">
        <v>254.5</v>
      </c>
      <c r="E11" t="s">
        <v>233</v>
      </c>
    </row>
    <row r="12" spans="1:5" x14ac:dyDescent="0.3">
      <c r="A12">
        <v>11</v>
      </c>
      <c r="B12">
        <v>151</v>
      </c>
      <c r="C12" t="s">
        <v>232</v>
      </c>
      <c r="D12">
        <v>258</v>
      </c>
      <c r="E12" t="s">
        <v>236</v>
      </c>
    </row>
    <row r="13" spans="1:5" x14ac:dyDescent="0.3">
      <c r="A13">
        <v>12</v>
      </c>
      <c r="B13">
        <v>85</v>
      </c>
      <c r="C13" t="s">
        <v>230</v>
      </c>
      <c r="D13">
        <v>176.9</v>
      </c>
      <c r="E13" t="s">
        <v>239</v>
      </c>
    </row>
    <row r="14" spans="1:5" x14ac:dyDescent="0.3">
      <c r="A14">
        <v>13</v>
      </c>
      <c r="B14">
        <v>147</v>
      </c>
      <c r="C14" t="s">
        <v>240</v>
      </c>
      <c r="D14">
        <v>51.6</v>
      </c>
      <c r="E14" t="s">
        <v>231</v>
      </c>
    </row>
    <row r="15" spans="1:5" x14ac:dyDescent="0.3">
      <c r="A15">
        <v>14</v>
      </c>
      <c r="B15">
        <v>112</v>
      </c>
      <c r="C15" t="s">
        <v>230</v>
      </c>
      <c r="D15">
        <v>121.8</v>
      </c>
      <c r="E15" t="s">
        <v>239</v>
      </c>
    </row>
    <row r="16" spans="1:5" x14ac:dyDescent="0.3">
      <c r="A16">
        <v>15</v>
      </c>
      <c r="B16">
        <v>125</v>
      </c>
      <c r="C16" t="s">
        <v>232</v>
      </c>
      <c r="D16">
        <v>204.2</v>
      </c>
      <c r="E16" t="s">
        <v>241</v>
      </c>
    </row>
    <row r="17" spans="1:5" x14ac:dyDescent="0.3">
      <c r="A17">
        <v>16</v>
      </c>
      <c r="B17">
        <v>147</v>
      </c>
      <c r="C17" t="s">
        <v>238</v>
      </c>
      <c r="D17">
        <v>295.3</v>
      </c>
      <c r="E17" t="s">
        <v>236</v>
      </c>
    </row>
    <row r="18" spans="1:5" x14ac:dyDescent="0.3">
      <c r="A18">
        <v>17</v>
      </c>
      <c r="B18">
        <v>36</v>
      </c>
      <c r="C18" t="s">
        <v>235</v>
      </c>
      <c r="D18">
        <v>208</v>
      </c>
      <c r="E18" t="s">
        <v>231</v>
      </c>
    </row>
    <row r="19" spans="1:5" x14ac:dyDescent="0.3">
      <c r="A19">
        <v>18</v>
      </c>
      <c r="B19">
        <v>29</v>
      </c>
      <c r="C19" t="s">
        <v>238</v>
      </c>
      <c r="D19">
        <v>115</v>
      </c>
      <c r="E19" t="s">
        <v>233</v>
      </c>
    </row>
    <row r="20" spans="1:5" x14ac:dyDescent="0.3">
      <c r="A20">
        <v>19</v>
      </c>
      <c r="B20">
        <v>188</v>
      </c>
      <c r="C20" t="s">
        <v>240</v>
      </c>
      <c r="D20">
        <v>208.5</v>
      </c>
      <c r="E20" t="s">
        <v>234</v>
      </c>
    </row>
    <row r="21" spans="1:5" x14ac:dyDescent="0.3">
      <c r="A21">
        <v>20</v>
      </c>
      <c r="B21">
        <v>82</v>
      </c>
      <c r="C21" t="s">
        <v>237</v>
      </c>
      <c r="D21">
        <v>185</v>
      </c>
      <c r="E21" t="s">
        <v>231</v>
      </c>
    </row>
    <row r="22" spans="1:5" x14ac:dyDescent="0.3">
      <c r="A22">
        <v>21</v>
      </c>
      <c r="B22">
        <v>2</v>
      </c>
      <c r="C22" t="s">
        <v>235</v>
      </c>
      <c r="D22">
        <v>245</v>
      </c>
      <c r="E22" t="s">
        <v>233</v>
      </c>
    </row>
    <row r="23" spans="1:5" x14ac:dyDescent="0.3">
      <c r="A23">
        <v>22</v>
      </c>
      <c r="B23">
        <v>129</v>
      </c>
      <c r="C23" t="s">
        <v>240</v>
      </c>
      <c r="D23">
        <v>76.7</v>
      </c>
      <c r="E23" t="s">
        <v>234</v>
      </c>
    </row>
    <row r="24" spans="1:5" x14ac:dyDescent="0.3">
      <c r="A24">
        <v>23</v>
      </c>
      <c r="B24">
        <v>47</v>
      </c>
      <c r="C24" t="s">
        <v>232</v>
      </c>
      <c r="D24">
        <v>240.3</v>
      </c>
      <c r="E24" t="s">
        <v>234</v>
      </c>
    </row>
    <row r="25" spans="1:5" x14ac:dyDescent="0.3">
      <c r="A25">
        <v>24</v>
      </c>
      <c r="B25">
        <v>197</v>
      </c>
      <c r="C25" t="s">
        <v>235</v>
      </c>
      <c r="D25">
        <v>185.3</v>
      </c>
      <c r="E25" t="s">
        <v>231</v>
      </c>
    </row>
    <row r="26" spans="1:5" x14ac:dyDescent="0.3">
      <c r="A26">
        <v>25</v>
      </c>
      <c r="B26">
        <v>148</v>
      </c>
      <c r="C26" t="s">
        <v>240</v>
      </c>
      <c r="D26">
        <v>290.7</v>
      </c>
      <c r="E26" t="s">
        <v>239</v>
      </c>
    </row>
    <row r="27" spans="1:5" x14ac:dyDescent="0.3">
      <c r="A27">
        <v>26</v>
      </c>
      <c r="B27">
        <v>11</v>
      </c>
      <c r="C27" t="s">
        <v>232</v>
      </c>
      <c r="D27">
        <v>135.5</v>
      </c>
      <c r="E27" t="s">
        <v>239</v>
      </c>
    </row>
    <row r="28" spans="1:5" x14ac:dyDescent="0.3">
      <c r="A28">
        <v>27</v>
      </c>
      <c r="B28">
        <v>130</v>
      </c>
      <c r="C28" t="s">
        <v>238</v>
      </c>
      <c r="D28">
        <v>208.2</v>
      </c>
      <c r="E28" t="s">
        <v>234</v>
      </c>
    </row>
    <row r="29" spans="1:5" x14ac:dyDescent="0.3">
      <c r="A29">
        <v>28</v>
      </c>
      <c r="B29">
        <v>195</v>
      </c>
      <c r="C29" t="s">
        <v>237</v>
      </c>
      <c r="D29">
        <v>283</v>
      </c>
      <c r="E29" t="s">
        <v>239</v>
      </c>
    </row>
    <row r="30" spans="1:5" x14ac:dyDescent="0.3">
      <c r="A30">
        <v>29</v>
      </c>
      <c r="B30">
        <v>119</v>
      </c>
      <c r="C30" t="s">
        <v>232</v>
      </c>
      <c r="D30">
        <v>75.599999999999994</v>
      </c>
      <c r="E30" t="s">
        <v>241</v>
      </c>
    </row>
    <row r="31" spans="1:5" x14ac:dyDescent="0.3">
      <c r="A31">
        <v>30</v>
      </c>
      <c r="B31">
        <v>140</v>
      </c>
      <c r="C31" t="s">
        <v>230</v>
      </c>
      <c r="D31">
        <v>284.3</v>
      </c>
      <c r="E31" t="s">
        <v>234</v>
      </c>
    </row>
    <row r="32" spans="1:5" x14ac:dyDescent="0.3">
      <c r="A32">
        <v>31</v>
      </c>
      <c r="B32">
        <v>20</v>
      </c>
      <c r="C32" t="s">
        <v>232</v>
      </c>
      <c r="D32">
        <v>222</v>
      </c>
      <c r="E32" t="s">
        <v>234</v>
      </c>
    </row>
    <row r="33" spans="1:5" x14ac:dyDescent="0.3">
      <c r="A33">
        <v>32</v>
      </c>
      <c r="B33">
        <v>5</v>
      </c>
      <c r="C33" t="s">
        <v>232</v>
      </c>
      <c r="D33">
        <v>67</v>
      </c>
      <c r="E33" t="s">
        <v>233</v>
      </c>
    </row>
    <row r="34" spans="1:5" x14ac:dyDescent="0.3">
      <c r="A34">
        <v>33</v>
      </c>
      <c r="B34">
        <v>37</v>
      </c>
      <c r="C34" t="s">
        <v>237</v>
      </c>
      <c r="D34">
        <v>125.2</v>
      </c>
      <c r="E34" t="s">
        <v>239</v>
      </c>
    </row>
    <row r="35" spans="1:5" x14ac:dyDescent="0.3">
      <c r="A35">
        <v>34</v>
      </c>
      <c r="B35">
        <v>166</v>
      </c>
      <c r="C35" t="s">
        <v>230</v>
      </c>
      <c r="D35">
        <v>227</v>
      </c>
      <c r="E35" t="s">
        <v>234</v>
      </c>
    </row>
    <row r="36" spans="1:5" x14ac:dyDescent="0.3">
      <c r="A36">
        <v>35</v>
      </c>
      <c r="B36">
        <v>137</v>
      </c>
      <c r="C36" t="s">
        <v>240</v>
      </c>
      <c r="D36">
        <v>66.8</v>
      </c>
      <c r="E36" t="s">
        <v>241</v>
      </c>
    </row>
    <row r="37" spans="1:5" x14ac:dyDescent="0.3">
      <c r="A37">
        <v>36</v>
      </c>
      <c r="B37">
        <v>53</v>
      </c>
      <c r="C37" t="s">
        <v>240</v>
      </c>
      <c r="D37">
        <v>195.5</v>
      </c>
      <c r="E37" t="s">
        <v>233</v>
      </c>
    </row>
    <row r="38" spans="1:5" x14ac:dyDescent="0.3">
      <c r="A38">
        <v>37</v>
      </c>
      <c r="B38">
        <v>172</v>
      </c>
      <c r="C38" t="s">
        <v>232</v>
      </c>
      <c r="D38">
        <v>136.5</v>
      </c>
      <c r="E38" t="s">
        <v>231</v>
      </c>
    </row>
    <row r="39" spans="1:5" x14ac:dyDescent="0.3">
      <c r="A39">
        <v>38</v>
      </c>
      <c r="B39">
        <v>99</v>
      </c>
      <c r="C39" t="s">
        <v>230</v>
      </c>
      <c r="D39">
        <v>205.2</v>
      </c>
      <c r="E39" t="s">
        <v>234</v>
      </c>
    </row>
    <row r="40" spans="1:5" x14ac:dyDescent="0.3">
      <c r="A40">
        <v>39</v>
      </c>
      <c r="B40">
        <v>86</v>
      </c>
      <c r="C40" t="s">
        <v>230</v>
      </c>
      <c r="D40">
        <v>61.4</v>
      </c>
      <c r="E40" t="s">
        <v>241</v>
      </c>
    </row>
    <row r="41" spans="1:5" x14ac:dyDescent="0.3">
      <c r="A41">
        <v>40</v>
      </c>
      <c r="B41">
        <v>108</v>
      </c>
      <c r="C41" t="s">
        <v>237</v>
      </c>
      <c r="D41">
        <v>267.89999999999998</v>
      </c>
      <c r="E41" t="s">
        <v>236</v>
      </c>
    </row>
    <row r="42" spans="1:5" x14ac:dyDescent="0.3">
      <c r="A42">
        <v>41</v>
      </c>
      <c r="B42">
        <v>24</v>
      </c>
      <c r="C42" t="s">
        <v>238</v>
      </c>
      <c r="D42">
        <v>293.39999999999998</v>
      </c>
      <c r="E42" t="s">
        <v>241</v>
      </c>
    </row>
    <row r="43" spans="1:5" x14ac:dyDescent="0.3">
      <c r="A43">
        <v>42</v>
      </c>
      <c r="B43">
        <v>81</v>
      </c>
      <c r="C43" t="s">
        <v>240</v>
      </c>
      <c r="D43">
        <v>292.2</v>
      </c>
      <c r="E43" t="s">
        <v>241</v>
      </c>
    </row>
    <row r="44" spans="1:5" x14ac:dyDescent="0.3">
      <c r="A44">
        <v>43</v>
      </c>
      <c r="B44">
        <v>158</v>
      </c>
      <c r="C44" t="s">
        <v>237</v>
      </c>
      <c r="D44">
        <v>237.4</v>
      </c>
      <c r="E44" t="s">
        <v>233</v>
      </c>
    </row>
    <row r="45" spans="1:5" x14ac:dyDescent="0.3">
      <c r="A45">
        <v>44</v>
      </c>
      <c r="B45">
        <v>120</v>
      </c>
      <c r="C45" t="s">
        <v>235</v>
      </c>
      <c r="D45">
        <v>82.5</v>
      </c>
      <c r="E45" t="s">
        <v>231</v>
      </c>
    </row>
    <row r="46" spans="1:5" x14ac:dyDescent="0.3">
      <c r="A46">
        <v>45</v>
      </c>
      <c r="B46">
        <v>59</v>
      </c>
      <c r="C46" t="s">
        <v>240</v>
      </c>
      <c r="D46">
        <v>239.6</v>
      </c>
      <c r="E46" t="s">
        <v>236</v>
      </c>
    </row>
    <row r="47" spans="1:5" x14ac:dyDescent="0.3">
      <c r="A47">
        <v>46</v>
      </c>
      <c r="B47">
        <v>128</v>
      </c>
      <c r="C47" t="s">
        <v>237</v>
      </c>
      <c r="D47">
        <v>56.1</v>
      </c>
      <c r="E47" t="s">
        <v>239</v>
      </c>
    </row>
    <row r="48" spans="1:5" x14ac:dyDescent="0.3">
      <c r="A48">
        <v>47</v>
      </c>
      <c r="B48">
        <v>114</v>
      </c>
      <c r="C48" t="s">
        <v>240</v>
      </c>
      <c r="D48">
        <v>55.5</v>
      </c>
      <c r="E48" t="s">
        <v>239</v>
      </c>
    </row>
    <row r="49" spans="1:5" x14ac:dyDescent="0.3">
      <c r="A49">
        <v>48</v>
      </c>
      <c r="B49">
        <v>115</v>
      </c>
      <c r="C49" t="s">
        <v>238</v>
      </c>
      <c r="D49">
        <v>130.9</v>
      </c>
      <c r="E49" t="s">
        <v>241</v>
      </c>
    </row>
    <row r="50" spans="1:5" x14ac:dyDescent="0.3">
      <c r="A50">
        <v>49</v>
      </c>
      <c r="B50">
        <v>14</v>
      </c>
      <c r="C50" t="s">
        <v>235</v>
      </c>
      <c r="D50">
        <v>172.2</v>
      </c>
      <c r="E50" t="s">
        <v>233</v>
      </c>
    </row>
    <row r="51" spans="1:5" x14ac:dyDescent="0.3">
      <c r="A51">
        <v>50</v>
      </c>
      <c r="B51">
        <v>9</v>
      </c>
      <c r="C51" t="s">
        <v>238</v>
      </c>
      <c r="D51">
        <v>242.6</v>
      </c>
      <c r="E51" t="s">
        <v>233</v>
      </c>
    </row>
    <row r="52" spans="1:5" x14ac:dyDescent="0.3">
      <c r="A52">
        <v>51</v>
      </c>
      <c r="B52">
        <v>40</v>
      </c>
      <c r="C52" t="s">
        <v>235</v>
      </c>
      <c r="D52">
        <v>220.8</v>
      </c>
      <c r="E52" t="s">
        <v>239</v>
      </c>
    </row>
    <row r="53" spans="1:5" x14ac:dyDescent="0.3">
      <c r="A53">
        <v>52</v>
      </c>
      <c r="B53">
        <v>194</v>
      </c>
      <c r="C53" t="s">
        <v>232</v>
      </c>
      <c r="D53">
        <v>161.5</v>
      </c>
      <c r="E53" t="s">
        <v>236</v>
      </c>
    </row>
    <row r="54" spans="1:5" x14ac:dyDescent="0.3">
      <c r="A54">
        <v>53</v>
      </c>
      <c r="B54">
        <v>25</v>
      </c>
      <c r="C54" t="s">
        <v>237</v>
      </c>
      <c r="D54">
        <v>118.4</v>
      </c>
      <c r="E54" t="s">
        <v>231</v>
      </c>
    </row>
    <row r="55" spans="1:5" x14ac:dyDescent="0.3">
      <c r="A55">
        <v>54</v>
      </c>
      <c r="B55">
        <v>103</v>
      </c>
      <c r="C55" t="s">
        <v>235</v>
      </c>
      <c r="D55">
        <v>299.3</v>
      </c>
      <c r="E55" t="s">
        <v>236</v>
      </c>
    </row>
    <row r="56" spans="1:5" x14ac:dyDescent="0.3">
      <c r="A56">
        <v>55</v>
      </c>
      <c r="B56">
        <v>22</v>
      </c>
      <c r="C56" t="s">
        <v>238</v>
      </c>
      <c r="D56">
        <v>156.5</v>
      </c>
      <c r="E56" t="s">
        <v>234</v>
      </c>
    </row>
    <row r="57" spans="1:5" x14ac:dyDescent="0.3">
      <c r="A57">
        <v>56</v>
      </c>
      <c r="B57">
        <v>4</v>
      </c>
      <c r="C57" t="s">
        <v>240</v>
      </c>
      <c r="D57">
        <v>162.80000000000001</v>
      </c>
      <c r="E57" t="s">
        <v>234</v>
      </c>
    </row>
    <row r="58" spans="1:5" x14ac:dyDescent="0.3">
      <c r="A58">
        <v>57</v>
      </c>
      <c r="B58">
        <v>154</v>
      </c>
      <c r="C58" t="s">
        <v>235</v>
      </c>
      <c r="D58">
        <v>90.9</v>
      </c>
      <c r="E58" t="s">
        <v>231</v>
      </c>
    </row>
    <row r="59" spans="1:5" x14ac:dyDescent="0.3">
      <c r="A59">
        <v>58</v>
      </c>
      <c r="B59">
        <v>186</v>
      </c>
      <c r="C59" t="s">
        <v>237</v>
      </c>
      <c r="D59">
        <v>248.7</v>
      </c>
      <c r="E59" t="s">
        <v>239</v>
      </c>
    </row>
    <row r="60" spans="1:5" x14ac:dyDescent="0.3">
      <c r="A60">
        <v>59</v>
      </c>
      <c r="B60">
        <v>29</v>
      </c>
      <c r="C60" t="s">
        <v>235</v>
      </c>
      <c r="D60">
        <v>223.4</v>
      </c>
      <c r="E60" t="s">
        <v>231</v>
      </c>
    </row>
    <row r="61" spans="1:5" x14ac:dyDescent="0.3">
      <c r="A61">
        <v>60</v>
      </c>
      <c r="B61">
        <v>109</v>
      </c>
      <c r="C61" t="s">
        <v>230</v>
      </c>
      <c r="D61">
        <v>105.2</v>
      </c>
      <c r="E61" t="s">
        <v>233</v>
      </c>
    </row>
    <row r="62" spans="1:5" x14ac:dyDescent="0.3">
      <c r="A62">
        <v>61</v>
      </c>
      <c r="B62">
        <v>98</v>
      </c>
      <c r="C62" t="s">
        <v>240</v>
      </c>
      <c r="D62">
        <v>70.599999999999994</v>
      </c>
      <c r="E62" t="s">
        <v>234</v>
      </c>
    </row>
    <row r="63" spans="1:5" x14ac:dyDescent="0.3">
      <c r="A63">
        <v>62</v>
      </c>
      <c r="B63">
        <v>37</v>
      </c>
      <c r="C63" t="s">
        <v>237</v>
      </c>
      <c r="D63">
        <v>220.1</v>
      </c>
      <c r="E63" t="s">
        <v>241</v>
      </c>
    </row>
    <row r="64" spans="1:5" x14ac:dyDescent="0.3">
      <c r="A64">
        <v>63</v>
      </c>
      <c r="B64">
        <v>75</v>
      </c>
      <c r="C64" t="s">
        <v>237</v>
      </c>
      <c r="D64">
        <v>213.6</v>
      </c>
      <c r="E64" t="s">
        <v>241</v>
      </c>
    </row>
    <row r="65" spans="1:5" x14ac:dyDescent="0.3">
      <c r="A65">
        <v>64</v>
      </c>
      <c r="B65">
        <v>70</v>
      </c>
      <c r="C65" t="s">
        <v>232</v>
      </c>
      <c r="D65">
        <v>118.3</v>
      </c>
      <c r="E65" t="s">
        <v>239</v>
      </c>
    </row>
    <row r="66" spans="1:5" x14ac:dyDescent="0.3">
      <c r="A66">
        <v>65</v>
      </c>
      <c r="B66">
        <v>146</v>
      </c>
      <c r="C66" t="s">
        <v>238</v>
      </c>
      <c r="D66">
        <v>287.7</v>
      </c>
      <c r="E66" t="s">
        <v>233</v>
      </c>
    </row>
    <row r="67" spans="1:5" x14ac:dyDescent="0.3">
      <c r="A67">
        <v>66</v>
      </c>
      <c r="B67">
        <v>128</v>
      </c>
      <c r="C67" t="s">
        <v>232</v>
      </c>
      <c r="D67">
        <v>87.8</v>
      </c>
      <c r="E67" t="s">
        <v>236</v>
      </c>
    </row>
    <row r="68" spans="1:5" x14ac:dyDescent="0.3">
      <c r="A68">
        <v>67</v>
      </c>
      <c r="B68">
        <v>85</v>
      </c>
      <c r="C68" t="s">
        <v>237</v>
      </c>
      <c r="D68">
        <v>158.1</v>
      </c>
      <c r="E68" t="s">
        <v>233</v>
      </c>
    </row>
    <row r="69" spans="1:5" x14ac:dyDescent="0.3">
      <c r="A69">
        <v>68</v>
      </c>
      <c r="B69">
        <v>42</v>
      </c>
      <c r="C69" t="s">
        <v>240</v>
      </c>
      <c r="D69">
        <v>285.89999999999998</v>
      </c>
      <c r="E69" t="s">
        <v>241</v>
      </c>
    </row>
    <row r="70" spans="1:5" x14ac:dyDescent="0.3">
      <c r="A70">
        <v>69</v>
      </c>
      <c r="B70">
        <v>100</v>
      </c>
      <c r="C70" t="s">
        <v>235</v>
      </c>
      <c r="D70">
        <v>154.9</v>
      </c>
      <c r="E70" t="s">
        <v>241</v>
      </c>
    </row>
    <row r="71" spans="1:5" x14ac:dyDescent="0.3">
      <c r="A71">
        <v>70</v>
      </c>
      <c r="B71">
        <v>41</v>
      </c>
      <c r="C71" t="s">
        <v>235</v>
      </c>
      <c r="D71">
        <v>209.6</v>
      </c>
      <c r="E71" t="s">
        <v>234</v>
      </c>
    </row>
    <row r="72" spans="1:5" x14ac:dyDescent="0.3">
      <c r="A72">
        <v>71</v>
      </c>
      <c r="B72">
        <v>166</v>
      </c>
      <c r="C72" t="s">
        <v>240</v>
      </c>
      <c r="D72">
        <v>149.4</v>
      </c>
      <c r="E72" t="s">
        <v>233</v>
      </c>
    </row>
    <row r="73" spans="1:5" x14ac:dyDescent="0.3">
      <c r="A73">
        <v>72</v>
      </c>
      <c r="B73">
        <v>34</v>
      </c>
      <c r="C73" t="s">
        <v>237</v>
      </c>
      <c r="D73">
        <v>118.6</v>
      </c>
      <c r="E73" t="s">
        <v>233</v>
      </c>
    </row>
    <row r="74" spans="1:5" x14ac:dyDescent="0.3">
      <c r="A74">
        <v>73</v>
      </c>
      <c r="B74">
        <v>17</v>
      </c>
      <c r="C74" t="s">
        <v>235</v>
      </c>
      <c r="D74">
        <v>296</v>
      </c>
      <c r="E74" t="s">
        <v>241</v>
      </c>
    </row>
    <row r="75" spans="1:5" x14ac:dyDescent="0.3">
      <c r="A75">
        <v>74</v>
      </c>
      <c r="B75">
        <v>165</v>
      </c>
      <c r="C75" t="s">
        <v>235</v>
      </c>
      <c r="D75">
        <v>152.30000000000001</v>
      </c>
      <c r="E75" t="s">
        <v>236</v>
      </c>
    </row>
    <row r="76" spans="1:5" x14ac:dyDescent="0.3">
      <c r="A76">
        <v>75</v>
      </c>
      <c r="B76">
        <v>153</v>
      </c>
      <c r="C76" t="s">
        <v>235</v>
      </c>
      <c r="D76">
        <v>273.5</v>
      </c>
      <c r="E76" t="s">
        <v>239</v>
      </c>
    </row>
    <row r="77" spans="1:5" x14ac:dyDescent="0.3">
      <c r="A77">
        <v>76</v>
      </c>
      <c r="B77">
        <v>122</v>
      </c>
      <c r="C77" t="s">
        <v>238</v>
      </c>
      <c r="D77">
        <v>107.5</v>
      </c>
      <c r="E77" t="s">
        <v>239</v>
      </c>
    </row>
    <row r="78" spans="1:5" x14ac:dyDescent="0.3">
      <c r="A78">
        <v>77</v>
      </c>
      <c r="B78">
        <v>76</v>
      </c>
      <c r="C78" t="s">
        <v>238</v>
      </c>
      <c r="D78">
        <v>103.3</v>
      </c>
      <c r="E78" t="s">
        <v>233</v>
      </c>
    </row>
    <row r="79" spans="1:5" x14ac:dyDescent="0.3">
      <c r="A79">
        <v>78</v>
      </c>
      <c r="B79">
        <v>87</v>
      </c>
      <c r="C79" t="s">
        <v>230</v>
      </c>
      <c r="D79">
        <v>57.8</v>
      </c>
      <c r="E79" t="s">
        <v>239</v>
      </c>
    </row>
    <row r="80" spans="1:5" x14ac:dyDescent="0.3">
      <c r="A80">
        <v>79</v>
      </c>
      <c r="B80">
        <v>117</v>
      </c>
      <c r="C80" t="s">
        <v>232</v>
      </c>
      <c r="D80">
        <v>212.9</v>
      </c>
      <c r="E80" t="s">
        <v>241</v>
      </c>
    </row>
    <row r="81" spans="1:5" x14ac:dyDescent="0.3">
      <c r="A81">
        <v>80</v>
      </c>
      <c r="B81">
        <v>106</v>
      </c>
      <c r="C81" t="s">
        <v>240</v>
      </c>
      <c r="D81">
        <v>142.1</v>
      </c>
      <c r="E81" t="s">
        <v>241</v>
      </c>
    </row>
    <row r="82" spans="1:5" x14ac:dyDescent="0.3">
      <c r="A82">
        <v>81</v>
      </c>
      <c r="B82">
        <v>86</v>
      </c>
      <c r="C82" t="s">
        <v>240</v>
      </c>
      <c r="D82">
        <v>266.10000000000002</v>
      </c>
      <c r="E82" t="s">
        <v>233</v>
      </c>
    </row>
    <row r="83" spans="1:5" x14ac:dyDescent="0.3">
      <c r="A83">
        <v>82</v>
      </c>
      <c r="B83">
        <v>27</v>
      </c>
      <c r="C83" t="s">
        <v>240</v>
      </c>
      <c r="D83">
        <v>168.3</v>
      </c>
      <c r="E83" t="s">
        <v>233</v>
      </c>
    </row>
    <row r="84" spans="1:5" x14ac:dyDescent="0.3">
      <c r="A84">
        <v>83</v>
      </c>
      <c r="B84">
        <v>57</v>
      </c>
      <c r="C84" t="s">
        <v>230</v>
      </c>
      <c r="D84">
        <v>292</v>
      </c>
      <c r="E84" t="s">
        <v>234</v>
      </c>
    </row>
    <row r="85" spans="1:5" x14ac:dyDescent="0.3">
      <c r="A85">
        <v>84</v>
      </c>
      <c r="B85">
        <v>31</v>
      </c>
      <c r="C85" t="s">
        <v>238</v>
      </c>
      <c r="D85">
        <v>96.4</v>
      </c>
      <c r="E85" t="s">
        <v>233</v>
      </c>
    </row>
    <row r="86" spans="1:5" x14ac:dyDescent="0.3">
      <c r="A86">
        <v>85</v>
      </c>
      <c r="B86">
        <v>134</v>
      </c>
      <c r="C86" t="s">
        <v>237</v>
      </c>
      <c r="D86">
        <v>267.2</v>
      </c>
      <c r="E86" t="s">
        <v>236</v>
      </c>
    </row>
    <row r="87" spans="1:5" x14ac:dyDescent="0.3">
      <c r="A87">
        <v>86</v>
      </c>
      <c r="B87">
        <v>168</v>
      </c>
      <c r="C87" t="s">
        <v>237</v>
      </c>
      <c r="D87">
        <v>244.1</v>
      </c>
      <c r="E87" t="s">
        <v>239</v>
      </c>
    </row>
    <row r="88" spans="1:5" x14ac:dyDescent="0.3">
      <c r="A88">
        <v>87</v>
      </c>
      <c r="B88">
        <v>98</v>
      </c>
      <c r="C88" t="s">
        <v>230</v>
      </c>
      <c r="D88">
        <v>242.7</v>
      </c>
      <c r="E88" t="s">
        <v>233</v>
      </c>
    </row>
    <row r="89" spans="1:5" x14ac:dyDescent="0.3">
      <c r="A89">
        <v>88</v>
      </c>
      <c r="B89">
        <v>12</v>
      </c>
      <c r="C89" t="s">
        <v>237</v>
      </c>
      <c r="D89">
        <v>261.2</v>
      </c>
      <c r="E89" t="s">
        <v>231</v>
      </c>
    </row>
    <row r="90" spans="1:5" x14ac:dyDescent="0.3">
      <c r="A90">
        <v>89</v>
      </c>
      <c r="B90">
        <v>53</v>
      </c>
      <c r="C90" t="s">
        <v>240</v>
      </c>
      <c r="D90">
        <v>240.3</v>
      </c>
      <c r="E90" t="s">
        <v>234</v>
      </c>
    </row>
    <row r="91" spans="1:5" x14ac:dyDescent="0.3">
      <c r="A91">
        <v>90</v>
      </c>
      <c r="B91">
        <v>199</v>
      </c>
      <c r="C91" t="s">
        <v>232</v>
      </c>
      <c r="D91">
        <v>206.6</v>
      </c>
      <c r="E91" t="s">
        <v>231</v>
      </c>
    </row>
    <row r="92" spans="1:5" x14ac:dyDescent="0.3">
      <c r="A92">
        <v>91</v>
      </c>
      <c r="B92">
        <v>138</v>
      </c>
      <c r="C92" t="s">
        <v>235</v>
      </c>
      <c r="D92">
        <v>82.8</v>
      </c>
      <c r="E92" t="s">
        <v>241</v>
      </c>
    </row>
    <row r="93" spans="1:5" x14ac:dyDescent="0.3">
      <c r="A93">
        <v>92</v>
      </c>
      <c r="B93">
        <v>173</v>
      </c>
      <c r="C93" t="s">
        <v>238</v>
      </c>
      <c r="D93">
        <v>58.1</v>
      </c>
      <c r="E93" t="s">
        <v>239</v>
      </c>
    </row>
    <row r="94" spans="1:5" x14ac:dyDescent="0.3">
      <c r="A94">
        <v>93</v>
      </c>
      <c r="B94">
        <v>145</v>
      </c>
      <c r="C94" t="s">
        <v>238</v>
      </c>
      <c r="D94">
        <v>280.2</v>
      </c>
      <c r="E94" t="s">
        <v>233</v>
      </c>
    </row>
    <row r="95" spans="1:5" x14ac:dyDescent="0.3">
      <c r="A95">
        <v>94</v>
      </c>
      <c r="B95">
        <v>154</v>
      </c>
      <c r="C95" t="s">
        <v>230</v>
      </c>
      <c r="D95">
        <v>204.2</v>
      </c>
      <c r="E95" t="s">
        <v>231</v>
      </c>
    </row>
    <row r="96" spans="1:5" x14ac:dyDescent="0.3">
      <c r="A96">
        <v>95</v>
      </c>
      <c r="B96">
        <v>190</v>
      </c>
      <c r="C96" t="s">
        <v>238</v>
      </c>
      <c r="D96">
        <v>249.1</v>
      </c>
      <c r="E96" t="s">
        <v>239</v>
      </c>
    </row>
    <row r="97" spans="1:5" x14ac:dyDescent="0.3">
      <c r="A97">
        <v>96</v>
      </c>
      <c r="B97">
        <v>122</v>
      </c>
      <c r="C97" t="s">
        <v>240</v>
      </c>
      <c r="D97">
        <v>170.4</v>
      </c>
      <c r="E97" t="s">
        <v>241</v>
      </c>
    </row>
    <row r="98" spans="1:5" x14ac:dyDescent="0.3">
      <c r="A98">
        <v>97</v>
      </c>
      <c r="B98">
        <v>46</v>
      </c>
      <c r="C98" t="s">
        <v>237</v>
      </c>
      <c r="D98">
        <v>79.3</v>
      </c>
      <c r="E98" t="s">
        <v>236</v>
      </c>
    </row>
    <row r="99" spans="1:5" x14ac:dyDescent="0.3">
      <c r="A99">
        <v>98</v>
      </c>
      <c r="B99">
        <v>64</v>
      </c>
      <c r="C99" t="s">
        <v>240</v>
      </c>
      <c r="D99">
        <v>81.3</v>
      </c>
      <c r="E99" t="s">
        <v>234</v>
      </c>
    </row>
    <row r="100" spans="1:5" x14ac:dyDescent="0.3">
      <c r="A100">
        <v>99</v>
      </c>
      <c r="B100">
        <v>130</v>
      </c>
      <c r="C100" t="s">
        <v>230</v>
      </c>
      <c r="D100">
        <v>221.4</v>
      </c>
      <c r="E100" t="s">
        <v>239</v>
      </c>
    </row>
    <row r="101" spans="1:5" x14ac:dyDescent="0.3">
      <c r="A101">
        <v>100</v>
      </c>
      <c r="B101">
        <v>54</v>
      </c>
      <c r="C101" t="s">
        <v>240</v>
      </c>
      <c r="D101">
        <v>157.6</v>
      </c>
      <c r="E101" t="s">
        <v>239</v>
      </c>
    </row>
    <row r="102" spans="1:5" x14ac:dyDescent="0.3">
      <c r="A102">
        <v>101</v>
      </c>
      <c r="B102">
        <v>107</v>
      </c>
      <c r="C102" t="s">
        <v>237</v>
      </c>
      <c r="D102">
        <v>100.1</v>
      </c>
      <c r="E102" t="s">
        <v>236</v>
      </c>
    </row>
    <row r="103" spans="1:5" x14ac:dyDescent="0.3">
      <c r="A103">
        <v>102</v>
      </c>
      <c r="B103">
        <v>193</v>
      </c>
      <c r="C103" t="s">
        <v>232</v>
      </c>
      <c r="D103">
        <v>172.9</v>
      </c>
      <c r="E103" t="s">
        <v>239</v>
      </c>
    </row>
    <row r="104" spans="1:5" x14ac:dyDescent="0.3">
      <c r="A104">
        <v>103</v>
      </c>
      <c r="B104">
        <v>51</v>
      </c>
      <c r="C104" t="s">
        <v>230</v>
      </c>
      <c r="D104">
        <v>66.099999999999994</v>
      </c>
      <c r="E104" t="s">
        <v>241</v>
      </c>
    </row>
    <row r="105" spans="1:5" x14ac:dyDescent="0.3">
      <c r="A105">
        <v>104</v>
      </c>
      <c r="B105">
        <v>181</v>
      </c>
      <c r="C105" t="s">
        <v>232</v>
      </c>
      <c r="D105">
        <v>195.5</v>
      </c>
      <c r="E105" t="s">
        <v>241</v>
      </c>
    </row>
    <row r="106" spans="1:5" x14ac:dyDescent="0.3">
      <c r="A106">
        <v>105</v>
      </c>
      <c r="B106">
        <v>36</v>
      </c>
      <c r="C106" t="s">
        <v>235</v>
      </c>
      <c r="D106">
        <v>117.2</v>
      </c>
      <c r="E106" t="s">
        <v>236</v>
      </c>
    </row>
    <row r="107" spans="1:5" x14ac:dyDescent="0.3">
      <c r="A107">
        <v>106</v>
      </c>
      <c r="B107">
        <v>115</v>
      </c>
      <c r="C107" t="s">
        <v>232</v>
      </c>
      <c r="D107">
        <v>249.4</v>
      </c>
      <c r="E107" t="s">
        <v>234</v>
      </c>
    </row>
    <row r="108" spans="1:5" x14ac:dyDescent="0.3">
      <c r="A108">
        <v>107</v>
      </c>
      <c r="B108">
        <v>26</v>
      </c>
      <c r="C108" t="s">
        <v>235</v>
      </c>
      <c r="D108">
        <v>127.6</v>
      </c>
      <c r="E108" t="s">
        <v>233</v>
      </c>
    </row>
    <row r="109" spans="1:5" x14ac:dyDescent="0.3">
      <c r="A109">
        <v>108</v>
      </c>
      <c r="B109">
        <v>29</v>
      </c>
      <c r="C109" t="s">
        <v>235</v>
      </c>
      <c r="D109">
        <v>163.80000000000001</v>
      </c>
      <c r="E109" t="s">
        <v>231</v>
      </c>
    </row>
    <row r="110" spans="1:5" x14ac:dyDescent="0.3">
      <c r="A110">
        <v>109</v>
      </c>
      <c r="B110">
        <v>149</v>
      </c>
      <c r="C110" t="s">
        <v>232</v>
      </c>
      <c r="D110">
        <v>52.9</v>
      </c>
      <c r="E110" t="s">
        <v>233</v>
      </c>
    </row>
    <row r="111" spans="1:5" x14ac:dyDescent="0.3">
      <c r="A111">
        <v>110</v>
      </c>
      <c r="B111">
        <v>11</v>
      </c>
      <c r="C111" t="s">
        <v>230</v>
      </c>
      <c r="D111">
        <v>68.099999999999994</v>
      </c>
      <c r="E111" t="s">
        <v>239</v>
      </c>
    </row>
    <row r="112" spans="1:5" x14ac:dyDescent="0.3">
      <c r="A112">
        <v>111</v>
      </c>
      <c r="B112">
        <v>40</v>
      </c>
      <c r="C112" t="s">
        <v>237</v>
      </c>
      <c r="D112">
        <v>148.1</v>
      </c>
      <c r="E112" t="s">
        <v>231</v>
      </c>
    </row>
    <row r="113" spans="1:5" x14ac:dyDescent="0.3">
      <c r="A113">
        <v>112</v>
      </c>
      <c r="B113">
        <v>11</v>
      </c>
      <c r="C113" t="s">
        <v>240</v>
      </c>
      <c r="D113">
        <v>170</v>
      </c>
      <c r="E113" t="s">
        <v>236</v>
      </c>
    </row>
    <row r="114" spans="1:5" x14ac:dyDescent="0.3">
      <c r="A114">
        <v>113</v>
      </c>
      <c r="B114">
        <v>164</v>
      </c>
      <c r="C114" t="s">
        <v>240</v>
      </c>
      <c r="D114">
        <v>200</v>
      </c>
      <c r="E114" t="s">
        <v>236</v>
      </c>
    </row>
    <row r="115" spans="1:5" x14ac:dyDescent="0.3">
      <c r="A115">
        <v>114</v>
      </c>
      <c r="B115">
        <v>113</v>
      </c>
      <c r="C115" t="s">
        <v>237</v>
      </c>
      <c r="D115">
        <v>122.9</v>
      </c>
      <c r="E115" t="s">
        <v>234</v>
      </c>
    </row>
    <row r="116" spans="1:5" x14ac:dyDescent="0.3">
      <c r="A116">
        <v>115</v>
      </c>
      <c r="B116">
        <v>187</v>
      </c>
      <c r="C116" t="s">
        <v>235</v>
      </c>
      <c r="D116">
        <v>223.7</v>
      </c>
      <c r="E116" t="s">
        <v>231</v>
      </c>
    </row>
    <row r="117" spans="1:5" x14ac:dyDescent="0.3">
      <c r="A117">
        <v>116</v>
      </c>
      <c r="B117">
        <v>39</v>
      </c>
      <c r="C117" t="s">
        <v>235</v>
      </c>
      <c r="D117">
        <v>265</v>
      </c>
      <c r="E117" t="s">
        <v>241</v>
      </c>
    </row>
    <row r="118" spans="1:5" x14ac:dyDescent="0.3">
      <c r="A118">
        <v>117</v>
      </c>
      <c r="B118">
        <v>54</v>
      </c>
      <c r="C118" t="s">
        <v>230</v>
      </c>
      <c r="D118">
        <v>245</v>
      </c>
      <c r="E118" t="s">
        <v>231</v>
      </c>
    </row>
    <row r="119" spans="1:5" x14ac:dyDescent="0.3">
      <c r="A119">
        <v>118</v>
      </c>
      <c r="B119">
        <v>98</v>
      </c>
      <c r="C119" t="s">
        <v>238</v>
      </c>
      <c r="D119">
        <v>59.9</v>
      </c>
      <c r="E119" t="s">
        <v>239</v>
      </c>
    </row>
    <row r="120" spans="1:5" x14ac:dyDescent="0.3">
      <c r="A120">
        <v>119</v>
      </c>
      <c r="B120">
        <v>55</v>
      </c>
      <c r="C120" t="s">
        <v>232</v>
      </c>
      <c r="D120">
        <v>170.1</v>
      </c>
      <c r="E120" t="s">
        <v>241</v>
      </c>
    </row>
    <row r="121" spans="1:5" x14ac:dyDescent="0.3">
      <c r="A121">
        <v>120</v>
      </c>
      <c r="B121">
        <v>111</v>
      </c>
      <c r="C121" t="s">
        <v>235</v>
      </c>
      <c r="D121">
        <v>76.2</v>
      </c>
      <c r="E121" t="s">
        <v>236</v>
      </c>
    </row>
    <row r="122" spans="1:5" x14ac:dyDescent="0.3">
      <c r="A122">
        <v>121</v>
      </c>
      <c r="B122">
        <v>152</v>
      </c>
      <c r="C122" t="s">
        <v>240</v>
      </c>
      <c r="D122">
        <v>110.5</v>
      </c>
      <c r="E122" t="s">
        <v>231</v>
      </c>
    </row>
    <row r="123" spans="1:5" x14ac:dyDescent="0.3">
      <c r="A123">
        <v>122</v>
      </c>
      <c r="B123">
        <v>150</v>
      </c>
      <c r="C123" t="s">
        <v>230</v>
      </c>
      <c r="D123">
        <v>296.7</v>
      </c>
      <c r="E123" t="s">
        <v>233</v>
      </c>
    </row>
    <row r="124" spans="1:5" x14ac:dyDescent="0.3">
      <c r="A124">
        <v>123</v>
      </c>
      <c r="B124">
        <v>69</v>
      </c>
      <c r="C124" t="s">
        <v>232</v>
      </c>
      <c r="D124">
        <v>85.6</v>
      </c>
      <c r="E124" t="s">
        <v>234</v>
      </c>
    </row>
    <row r="125" spans="1:5" x14ac:dyDescent="0.3">
      <c r="A125">
        <v>124</v>
      </c>
      <c r="B125">
        <v>56</v>
      </c>
      <c r="C125" t="s">
        <v>230</v>
      </c>
      <c r="D125">
        <v>174.7</v>
      </c>
      <c r="E125" t="s">
        <v>233</v>
      </c>
    </row>
    <row r="126" spans="1:5" x14ac:dyDescent="0.3">
      <c r="A126">
        <v>125</v>
      </c>
      <c r="B126">
        <v>33</v>
      </c>
      <c r="C126" t="s">
        <v>232</v>
      </c>
      <c r="D126">
        <v>204.5</v>
      </c>
      <c r="E126" t="s">
        <v>234</v>
      </c>
    </row>
    <row r="127" spans="1:5" x14ac:dyDescent="0.3">
      <c r="A127">
        <v>126</v>
      </c>
      <c r="B127">
        <v>36</v>
      </c>
      <c r="C127" t="s">
        <v>232</v>
      </c>
      <c r="D127">
        <v>225.6</v>
      </c>
      <c r="E127" t="s">
        <v>239</v>
      </c>
    </row>
    <row r="128" spans="1:5" x14ac:dyDescent="0.3">
      <c r="A128">
        <v>127</v>
      </c>
      <c r="B128">
        <v>148</v>
      </c>
      <c r="C128" t="s">
        <v>237</v>
      </c>
      <c r="D128">
        <v>189.9</v>
      </c>
      <c r="E128" t="s">
        <v>233</v>
      </c>
    </row>
    <row r="129" spans="1:5" x14ac:dyDescent="0.3">
      <c r="A129">
        <v>128</v>
      </c>
      <c r="B129">
        <v>81</v>
      </c>
      <c r="C129" t="s">
        <v>235</v>
      </c>
      <c r="D129">
        <v>52.4</v>
      </c>
      <c r="E129" t="s">
        <v>231</v>
      </c>
    </row>
    <row r="130" spans="1:5" x14ac:dyDescent="0.3">
      <c r="A130">
        <v>129</v>
      </c>
      <c r="B130">
        <v>190</v>
      </c>
      <c r="C130" t="s">
        <v>230</v>
      </c>
      <c r="D130">
        <v>131.6</v>
      </c>
      <c r="E130" t="s">
        <v>231</v>
      </c>
    </row>
    <row r="131" spans="1:5" x14ac:dyDescent="0.3">
      <c r="A131">
        <v>130</v>
      </c>
      <c r="B131">
        <v>109</v>
      </c>
      <c r="C131" t="s">
        <v>230</v>
      </c>
      <c r="D131">
        <v>179.4</v>
      </c>
      <c r="E131" t="s">
        <v>233</v>
      </c>
    </row>
    <row r="132" spans="1:5" x14ac:dyDescent="0.3">
      <c r="A132">
        <v>131</v>
      </c>
      <c r="B132">
        <v>154</v>
      </c>
      <c r="C132" t="s">
        <v>237</v>
      </c>
      <c r="D132">
        <v>72</v>
      </c>
      <c r="E132" t="s">
        <v>231</v>
      </c>
    </row>
    <row r="133" spans="1:5" x14ac:dyDescent="0.3">
      <c r="A133">
        <v>132</v>
      </c>
      <c r="B133">
        <v>194</v>
      </c>
      <c r="C133" t="s">
        <v>240</v>
      </c>
      <c r="D133">
        <v>137.69999999999999</v>
      </c>
      <c r="E133" t="s">
        <v>239</v>
      </c>
    </row>
    <row r="134" spans="1:5" x14ac:dyDescent="0.3">
      <c r="A134">
        <v>133</v>
      </c>
      <c r="B134">
        <v>73</v>
      </c>
      <c r="C134" t="s">
        <v>240</v>
      </c>
      <c r="D134">
        <v>58.3</v>
      </c>
      <c r="E134" t="s">
        <v>241</v>
      </c>
    </row>
    <row r="135" spans="1:5" x14ac:dyDescent="0.3">
      <c r="A135">
        <v>134</v>
      </c>
      <c r="B135">
        <v>40</v>
      </c>
      <c r="C135" t="s">
        <v>235</v>
      </c>
      <c r="D135">
        <v>69.599999999999994</v>
      </c>
      <c r="E135" t="s">
        <v>239</v>
      </c>
    </row>
    <row r="136" spans="1:5" x14ac:dyDescent="0.3">
      <c r="A136">
        <v>135</v>
      </c>
      <c r="B136">
        <v>17</v>
      </c>
      <c r="C136" t="s">
        <v>235</v>
      </c>
      <c r="D136">
        <v>149.19999999999999</v>
      </c>
      <c r="E136" t="s">
        <v>234</v>
      </c>
    </row>
    <row r="137" spans="1:5" x14ac:dyDescent="0.3">
      <c r="A137">
        <v>136</v>
      </c>
      <c r="B137">
        <v>129</v>
      </c>
      <c r="C137" t="s">
        <v>238</v>
      </c>
      <c r="D137">
        <v>83.2</v>
      </c>
      <c r="E137" t="s">
        <v>239</v>
      </c>
    </row>
    <row r="138" spans="1:5" x14ac:dyDescent="0.3">
      <c r="A138">
        <v>137</v>
      </c>
      <c r="B138">
        <v>61</v>
      </c>
      <c r="C138" t="s">
        <v>237</v>
      </c>
      <c r="D138">
        <v>191.9</v>
      </c>
      <c r="E138" t="s">
        <v>234</v>
      </c>
    </row>
    <row r="139" spans="1:5" x14ac:dyDescent="0.3">
      <c r="A139">
        <v>138</v>
      </c>
      <c r="B139">
        <v>171</v>
      </c>
      <c r="C139" t="s">
        <v>240</v>
      </c>
      <c r="D139">
        <v>222.4</v>
      </c>
      <c r="E139" t="s">
        <v>231</v>
      </c>
    </row>
    <row r="140" spans="1:5" x14ac:dyDescent="0.3">
      <c r="A140">
        <v>139</v>
      </c>
      <c r="B140">
        <v>104</v>
      </c>
      <c r="C140" t="s">
        <v>232</v>
      </c>
      <c r="D140">
        <v>250.1</v>
      </c>
      <c r="E140" t="s">
        <v>241</v>
      </c>
    </row>
    <row r="141" spans="1:5" x14ac:dyDescent="0.3">
      <c r="A141">
        <v>140</v>
      </c>
      <c r="B141">
        <v>42</v>
      </c>
      <c r="C141" t="s">
        <v>230</v>
      </c>
      <c r="D141">
        <v>100</v>
      </c>
      <c r="E141" t="s">
        <v>231</v>
      </c>
    </row>
    <row r="142" spans="1:5" x14ac:dyDescent="0.3">
      <c r="A142">
        <v>141</v>
      </c>
      <c r="B142">
        <v>25</v>
      </c>
      <c r="C142" t="s">
        <v>235</v>
      </c>
      <c r="D142">
        <v>91.9</v>
      </c>
      <c r="E142" t="s">
        <v>236</v>
      </c>
    </row>
    <row r="143" spans="1:5" x14ac:dyDescent="0.3">
      <c r="A143">
        <v>142</v>
      </c>
      <c r="B143">
        <v>39</v>
      </c>
      <c r="C143" t="s">
        <v>230</v>
      </c>
      <c r="D143">
        <v>76.099999999999994</v>
      </c>
      <c r="E143" t="s">
        <v>231</v>
      </c>
    </row>
    <row r="144" spans="1:5" x14ac:dyDescent="0.3">
      <c r="A144">
        <v>143</v>
      </c>
      <c r="B144">
        <v>35</v>
      </c>
      <c r="C144" t="s">
        <v>230</v>
      </c>
      <c r="D144">
        <v>209.1</v>
      </c>
      <c r="E144" t="s">
        <v>234</v>
      </c>
    </row>
    <row r="145" spans="1:5" x14ac:dyDescent="0.3">
      <c r="A145">
        <v>144</v>
      </c>
      <c r="B145">
        <v>131</v>
      </c>
      <c r="C145" t="s">
        <v>238</v>
      </c>
      <c r="D145">
        <v>226.6</v>
      </c>
      <c r="E145" t="s">
        <v>231</v>
      </c>
    </row>
    <row r="146" spans="1:5" x14ac:dyDescent="0.3">
      <c r="A146">
        <v>145</v>
      </c>
      <c r="B146">
        <v>108</v>
      </c>
      <c r="C146" t="s">
        <v>240</v>
      </c>
      <c r="D146">
        <v>57.9</v>
      </c>
      <c r="E146" t="s">
        <v>231</v>
      </c>
    </row>
    <row r="147" spans="1:5" x14ac:dyDescent="0.3">
      <c r="A147">
        <v>146</v>
      </c>
      <c r="B147">
        <v>172</v>
      </c>
      <c r="C147" t="s">
        <v>235</v>
      </c>
      <c r="D147">
        <v>284.10000000000002</v>
      </c>
      <c r="E147" t="s">
        <v>241</v>
      </c>
    </row>
    <row r="148" spans="1:5" x14ac:dyDescent="0.3">
      <c r="A148">
        <v>147</v>
      </c>
      <c r="B148">
        <v>179</v>
      </c>
      <c r="C148" t="s">
        <v>230</v>
      </c>
      <c r="D148">
        <v>63</v>
      </c>
      <c r="E148" t="s">
        <v>231</v>
      </c>
    </row>
    <row r="149" spans="1:5" x14ac:dyDescent="0.3">
      <c r="A149">
        <v>148</v>
      </c>
      <c r="B149">
        <v>102</v>
      </c>
      <c r="C149" t="s">
        <v>235</v>
      </c>
      <c r="D149">
        <v>185.3</v>
      </c>
      <c r="E149" t="s">
        <v>241</v>
      </c>
    </row>
    <row r="150" spans="1:5" x14ac:dyDescent="0.3">
      <c r="A150">
        <v>149</v>
      </c>
      <c r="B150">
        <v>98</v>
      </c>
      <c r="C150" t="s">
        <v>232</v>
      </c>
      <c r="D150">
        <v>227.3</v>
      </c>
      <c r="E150" t="s">
        <v>233</v>
      </c>
    </row>
    <row r="151" spans="1:5" x14ac:dyDescent="0.3">
      <c r="A151">
        <v>150</v>
      </c>
      <c r="B151">
        <v>12</v>
      </c>
      <c r="C151" t="s">
        <v>238</v>
      </c>
      <c r="D151">
        <v>267.7</v>
      </c>
      <c r="E151" t="s">
        <v>236</v>
      </c>
    </row>
    <row r="152" spans="1:5" x14ac:dyDescent="0.3">
      <c r="A152">
        <v>151</v>
      </c>
      <c r="B152">
        <v>19</v>
      </c>
      <c r="C152" t="s">
        <v>232</v>
      </c>
      <c r="D152">
        <v>228.5</v>
      </c>
      <c r="E152" t="s">
        <v>241</v>
      </c>
    </row>
    <row r="153" spans="1:5" x14ac:dyDescent="0.3">
      <c r="A153">
        <v>152</v>
      </c>
      <c r="B153">
        <v>101</v>
      </c>
      <c r="C153" t="s">
        <v>235</v>
      </c>
      <c r="D153">
        <v>250.4</v>
      </c>
      <c r="E153" t="s">
        <v>234</v>
      </c>
    </row>
    <row r="154" spans="1:5" x14ac:dyDescent="0.3">
      <c r="A154">
        <v>153</v>
      </c>
      <c r="B154">
        <v>44</v>
      </c>
      <c r="C154" t="s">
        <v>235</v>
      </c>
      <c r="D154">
        <v>134.9</v>
      </c>
      <c r="E154" t="s">
        <v>233</v>
      </c>
    </row>
    <row r="155" spans="1:5" x14ac:dyDescent="0.3">
      <c r="A155">
        <v>154</v>
      </c>
      <c r="B155">
        <v>187</v>
      </c>
      <c r="C155" t="s">
        <v>240</v>
      </c>
      <c r="D155">
        <v>253.7</v>
      </c>
      <c r="E155" t="s">
        <v>241</v>
      </c>
    </row>
    <row r="156" spans="1:5" x14ac:dyDescent="0.3">
      <c r="A156">
        <v>155</v>
      </c>
      <c r="B156">
        <v>49</v>
      </c>
      <c r="C156" t="s">
        <v>230</v>
      </c>
      <c r="D156">
        <v>70</v>
      </c>
      <c r="E156" t="s">
        <v>241</v>
      </c>
    </row>
    <row r="157" spans="1:5" x14ac:dyDescent="0.3">
      <c r="A157">
        <v>156</v>
      </c>
      <c r="B157">
        <v>189</v>
      </c>
      <c r="C157" t="s">
        <v>230</v>
      </c>
      <c r="D157">
        <v>273.7</v>
      </c>
      <c r="E157" t="s">
        <v>236</v>
      </c>
    </row>
    <row r="158" spans="1:5" x14ac:dyDescent="0.3">
      <c r="A158">
        <v>157</v>
      </c>
      <c r="B158">
        <v>17</v>
      </c>
      <c r="C158" t="s">
        <v>232</v>
      </c>
      <c r="D158">
        <v>186.9</v>
      </c>
      <c r="E158" t="s">
        <v>234</v>
      </c>
    </row>
    <row r="159" spans="1:5" x14ac:dyDescent="0.3">
      <c r="A159">
        <v>158</v>
      </c>
      <c r="B159">
        <v>74</v>
      </c>
      <c r="C159" t="s">
        <v>238</v>
      </c>
      <c r="D159">
        <v>254.3</v>
      </c>
      <c r="E159" t="s">
        <v>239</v>
      </c>
    </row>
    <row r="160" spans="1:5" x14ac:dyDescent="0.3">
      <c r="A160">
        <v>159</v>
      </c>
      <c r="B160">
        <v>57</v>
      </c>
      <c r="C160" t="s">
        <v>237</v>
      </c>
      <c r="D160">
        <v>163.1</v>
      </c>
      <c r="E160" t="s">
        <v>239</v>
      </c>
    </row>
    <row r="161" spans="1:5" x14ac:dyDescent="0.3">
      <c r="A161">
        <v>160</v>
      </c>
      <c r="B161">
        <v>55</v>
      </c>
      <c r="C161" t="s">
        <v>230</v>
      </c>
      <c r="D161">
        <v>210.9</v>
      </c>
      <c r="E161" t="s">
        <v>241</v>
      </c>
    </row>
    <row r="162" spans="1:5" x14ac:dyDescent="0.3">
      <c r="A162">
        <v>161</v>
      </c>
      <c r="B162">
        <v>47</v>
      </c>
      <c r="C162" t="s">
        <v>240</v>
      </c>
      <c r="D162">
        <v>181.6</v>
      </c>
      <c r="E162" t="s">
        <v>231</v>
      </c>
    </row>
    <row r="163" spans="1:5" x14ac:dyDescent="0.3">
      <c r="A163">
        <v>162</v>
      </c>
      <c r="B163">
        <v>12</v>
      </c>
      <c r="C163" t="s">
        <v>232</v>
      </c>
      <c r="D163">
        <v>232.9</v>
      </c>
      <c r="E163" t="s">
        <v>234</v>
      </c>
    </row>
    <row r="164" spans="1:5" x14ac:dyDescent="0.3">
      <c r="A164">
        <v>163</v>
      </c>
      <c r="B164">
        <v>62</v>
      </c>
      <c r="C164" t="s">
        <v>232</v>
      </c>
      <c r="D164">
        <v>70.400000000000006</v>
      </c>
      <c r="E164" t="s">
        <v>233</v>
      </c>
    </row>
    <row r="165" spans="1:5" x14ac:dyDescent="0.3">
      <c r="A165">
        <v>164</v>
      </c>
      <c r="B165">
        <v>80</v>
      </c>
      <c r="C165" t="s">
        <v>237</v>
      </c>
      <c r="D165">
        <v>65.099999999999994</v>
      </c>
      <c r="E165" t="s">
        <v>231</v>
      </c>
    </row>
    <row r="166" spans="1:5" x14ac:dyDescent="0.3">
      <c r="A166">
        <v>165</v>
      </c>
      <c r="B166">
        <v>83</v>
      </c>
      <c r="C166" t="s">
        <v>240</v>
      </c>
      <c r="D166">
        <v>111.8</v>
      </c>
      <c r="E166" t="s">
        <v>231</v>
      </c>
    </row>
    <row r="167" spans="1:5" x14ac:dyDescent="0.3">
      <c r="A167">
        <v>166</v>
      </c>
      <c r="B167">
        <v>8</v>
      </c>
      <c r="C167" t="s">
        <v>238</v>
      </c>
      <c r="D167">
        <v>89.9</v>
      </c>
      <c r="E167" t="s">
        <v>234</v>
      </c>
    </row>
    <row r="168" spans="1:5" x14ac:dyDescent="0.3">
      <c r="A168">
        <v>167</v>
      </c>
      <c r="B168">
        <v>149</v>
      </c>
      <c r="C168" t="s">
        <v>240</v>
      </c>
      <c r="D168">
        <v>267.89999999999998</v>
      </c>
      <c r="E168" t="s">
        <v>241</v>
      </c>
    </row>
    <row r="169" spans="1:5" x14ac:dyDescent="0.3">
      <c r="A169">
        <v>168</v>
      </c>
      <c r="B169">
        <v>81</v>
      </c>
      <c r="C169" t="s">
        <v>238</v>
      </c>
      <c r="D169">
        <v>104.8</v>
      </c>
      <c r="E169" t="s">
        <v>241</v>
      </c>
    </row>
    <row r="170" spans="1:5" x14ac:dyDescent="0.3">
      <c r="A170">
        <v>169</v>
      </c>
      <c r="B170">
        <v>118</v>
      </c>
      <c r="C170" t="s">
        <v>240</v>
      </c>
      <c r="D170">
        <v>294</v>
      </c>
      <c r="E170" t="s">
        <v>241</v>
      </c>
    </row>
    <row r="171" spans="1:5" x14ac:dyDescent="0.3">
      <c r="A171">
        <v>170</v>
      </c>
      <c r="B171">
        <v>198</v>
      </c>
      <c r="C171" t="s">
        <v>240</v>
      </c>
      <c r="D171">
        <v>134.19999999999999</v>
      </c>
      <c r="E171" t="s">
        <v>241</v>
      </c>
    </row>
    <row r="172" spans="1:5" x14ac:dyDescent="0.3">
      <c r="A172">
        <v>171</v>
      </c>
      <c r="B172">
        <v>200</v>
      </c>
      <c r="C172" t="s">
        <v>235</v>
      </c>
      <c r="D172">
        <v>95.5</v>
      </c>
      <c r="E172" t="s">
        <v>239</v>
      </c>
    </row>
    <row r="173" spans="1:5" x14ac:dyDescent="0.3">
      <c r="A173">
        <v>172</v>
      </c>
      <c r="B173">
        <v>25</v>
      </c>
      <c r="C173" t="s">
        <v>232</v>
      </c>
      <c r="D173">
        <v>247.4</v>
      </c>
      <c r="E173" t="s">
        <v>241</v>
      </c>
    </row>
    <row r="174" spans="1:5" x14ac:dyDescent="0.3">
      <c r="A174">
        <v>173</v>
      </c>
      <c r="B174">
        <v>89</v>
      </c>
      <c r="C174" t="s">
        <v>240</v>
      </c>
      <c r="D174">
        <v>214.7</v>
      </c>
      <c r="E174" t="s">
        <v>239</v>
      </c>
    </row>
    <row r="175" spans="1:5" x14ac:dyDescent="0.3">
      <c r="A175">
        <v>174</v>
      </c>
      <c r="B175">
        <v>12</v>
      </c>
      <c r="C175" t="s">
        <v>237</v>
      </c>
      <c r="D175">
        <v>174.5</v>
      </c>
      <c r="E175" t="s">
        <v>239</v>
      </c>
    </row>
    <row r="176" spans="1:5" x14ac:dyDescent="0.3">
      <c r="A176">
        <v>175</v>
      </c>
      <c r="B176">
        <v>143</v>
      </c>
      <c r="C176" t="s">
        <v>240</v>
      </c>
      <c r="D176">
        <v>188.8</v>
      </c>
      <c r="E176" t="s">
        <v>241</v>
      </c>
    </row>
    <row r="177" spans="1:5" x14ac:dyDescent="0.3">
      <c r="A177">
        <v>176</v>
      </c>
      <c r="B177">
        <v>59</v>
      </c>
      <c r="C177" t="s">
        <v>230</v>
      </c>
      <c r="D177">
        <v>229.8</v>
      </c>
      <c r="E177" t="s">
        <v>236</v>
      </c>
    </row>
    <row r="178" spans="1:5" x14ac:dyDescent="0.3">
      <c r="A178">
        <v>177</v>
      </c>
      <c r="B178">
        <v>154</v>
      </c>
      <c r="C178" t="s">
        <v>232</v>
      </c>
      <c r="D178">
        <v>107.1</v>
      </c>
      <c r="E178" t="s">
        <v>233</v>
      </c>
    </row>
    <row r="179" spans="1:5" x14ac:dyDescent="0.3">
      <c r="A179">
        <v>178</v>
      </c>
      <c r="B179">
        <v>109</v>
      </c>
      <c r="C179" t="s">
        <v>230</v>
      </c>
      <c r="D179">
        <v>299.10000000000002</v>
      </c>
      <c r="E179" t="s">
        <v>231</v>
      </c>
    </row>
    <row r="180" spans="1:5" x14ac:dyDescent="0.3">
      <c r="A180">
        <v>179</v>
      </c>
      <c r="B180">
        <v>26</v>
      </c>
      <c r="C180" t="s">
        <v>232</v>
      </c>
      <c r="D180">
        <v>293.7</v>
      </c>
      <c r="E180" t="s">
        <v>239</v>
      </c>
    </row>
    <row r="181" spans="1:5" x14ac:dyDescent="0.3">
      <c r="A181">
        <v>180</v>
      </c>
      <c r="B181">
        <v>47</v>
      </c>
      <c r="C181" t="s">
        <v>230</v>
      </c>
      <c r="D181">
        <v>212.6</v>
      </c>
      <c r="E181" t="s">
        <v>234</v>
      </c>
    </row>
    <row r="182" spans="1:5" x14ac:dyDescent="0.3">
      <c r="A182">
        <v>181</v>
      </c>
      <c r="B182">
        <v>32</v>
      </c>
      <c r="C182" t="s">
        <v>240</v>
      </c>
      <c r="D182">
        <v>99.9</v>
      </c>
      <c r="E182" t="s">
        <v>234</v>
      </c>
    </row>
    <row r="183" spans="1:5" x14ac:dyDescent="0.3">
      <c r="A183">
        <v>182</v>
      </c>
      <c r="B183">
        <v>10</v>
      </c>
      <c r="C183" t="s">
        <v>240</v>
      </c>
      <c r="D183">
        <v>220.1</v>
      </c>
      <c r="E183" t="s">
        <v>233</v>
      </c>
    </row>
    <row r="184" spans="1:5" x14ac:dyDescent="0.3">
      <c r="A184">
        <v>183</v>
      </c>
      <c r="B184">
        <v>16</v>
      </c>
      <c r="C184" t="s">
        <v>235</v>
      </c>
      <c r="D184">
        <v>68</v>
      </c>
      <c r="E184" t="s">
        <v>234</v>
      </c>
    </row>
    <row r="185" spans="1:5" x14ac:dyDescent="0.3">
      <c r="A185">
        <v>184</v>
      </c>
      <c r="B185">
        <v>199</v>
      </c>
      <c r="C185" t="s">
        <v>237</v>
      </c>
      <c r="D185">
        <v>57.7</v>
      </c>
      <c r="E185" t="s">
        <v>236</v>
      </c>
    </row>
    <row r="186" spans="1:5" x14ac:dyDescent="0.3">
      <c r="A186">
        <v>185</v>
      </c>
      <c r="B186">
        <v>145</v>
      </c>
      <c r="C186" t="s">
        <v>230</v>
      </c>
      <c r="D186">
        <v>114.4</v>
      </c>
      <c r="E186" t="s">
        <v>234</v>
      </c>
    </row>
    <row r="187" spans="1:5" x14ac:dyDescent="0.3">
      <c r="A187">
        <v>186</v>
      </c>
      <c r="B187">
        <v>151</v>
      </c>
      <c r="C187" t="s">
        <v>238</v>
      </c>
      <c r="D187">
        <v>165.7</v>
      </c>
      <c r="E187" t="s">
        <v>231</v>
      </c>
    </row>
    <row r="188" spans="1:5" x14ac:dyDescent="0.3">
      <c r="A188">
        <v>187</v>
      </c>
      <c r="B188">
        <v>26</v>
      </c>
      <c r="C188" t="s">
        <v>235</v>
      </c>
      <c r="D188">
        <v>267.10000000000002</v>
      </c>
      <c r="E188" t="s">
        <v>231</v>
      </c>
    </row>
    <row r="189" spans="1:5" x14ac:dyDescent="0.3">
      <c r="A189">
        <v>188</v>
      </c>
      <c r="B189">
        <v>86</v>
      </c>
      <c r="C189" t="s">
        <v>230</v>
      </c>
      <c r="D189">
        <v>231.8</v>
      </c>
      <c r="E189" t="s">
        <v>239</v>
      </c>
    </row>
    <row r="190" spans="1:5" x14ac:dyDescent="0.3">
      <c r="A190">
        <v>189</v>
      </c>
      <c r="B190">
        <v>135</v>
      </c>
      <c r="C190" t="s">
        <v>230</v>
      </c>
      <c r="D190">
        <v>235.7</v>
      </c>
      <c r="E190" t="s">
        <v>241</v>
      </c>
    </row>
    <row r="191" spans="1:5" x14ac:dyDescent="0.3">
      <c r="A191">
        <v>190</v>
      </c>
      <c r="B191">
        <v>14</v>
      </c>
      <c r="C191" t="s">
        <v>235</v>
      </c>
      <c r="D191">
        <v>156.4</v>
      </c>
      <c r="E191" t="s">
        <v>236</v>
      </c>
    </row>
    <row r="192" spans="1:5" x14ac:dyDescent="0.3">
      <c r="A192">
        <v>191</v>
      </c>
      <c r="B192">
        <v>79</v>
      </c>
      <c r="C192" t="s">
        <v>240</v>
      </c>
      <c r="D192">
        <v>136.5</v>
      </c>
      <c r="E192" t="s">
        <v>239</v>
      </c>
    </row>
    <row r="193" spans="1:5" x14ac:dyDescent="0.3">
      <c r="A193">
        <v>192</v>
      </c>
      <c r="B193">
        <v>117</v>
      </c>
      <c r="C193" t="s">
        <v>230</v>
      </c>
      <c r="D193">
        <v>142.80000000000001</v>
      </c>
      <c r="E193" t="s">
        <v>236</v>
      </c>
    </row>
    <row r="194" spans="1:5" x14ac:dyDescent="0.3">
      <c r="A194">
        <v>193</v>
      </c>
      <c r="B194">
        <v>7</v>
      </c>
      <c r="C194" t="s">
        <v>240</v>
      </c>
      <c r="D194">
        <v>296.89999999999998</v>
      </c>
      <c r="E194" t="s">
        <v>241</v>
      </c>
    </row>
    <row r="195" spans="1:5" x14ac:dyDescent="0.3">
      <c r="A195">
        <v>194</v>
      </c>
      <c r="B195">
        <v>137</v>
      </c>
      <c r="C195" t="s">
        <v>235</v>
      </c>
      <c r="D195">
        <v>60</v>
      </c>
      <c r="E195" t="s">
        <v>234</v>
      </c>
    </row>
    <row r="196" spans="1:5" x14ac:dyDescent="0.3">
      <c r="A196">
        <v>195</v>
      </c>
      <c r="B196">
        <v>115</v>
      </c>
      <c r="C196" t="s">
        <v>240</v>
      </c>
      <c r="D196">
        <v>266.8</v>
      </c>
      <c r="E196" t="s">
        <v>234</v>
      </c>
    </row>
    <row r="197" spans="1:5" x14ac:dyDescent="0.3">
      <c r="A197">
        <v>196</v>
      </c>
      <c r="B197">
        <v>176</v>
      </c>
      <c r="C197" t="s">
        <v>232</v>
      </c>
      <c r="D197">
        <v>194.7</v>
      </c>
      <c r="E197" t="s">
        <v>241</v>
      </c>
    </row>
    <row r="198" spans="1:5" x14ac:dyDescent="0.3">
      <c r="A198">
        <v>197</v>
      </c>
      <c r="B198">
        <v>72</v>
      </c>
      <c r="C198" t="s">
        <v>238</v>
      </c>
      <c r="D198">
        <v>159.69999999999999</v>
      </c>
      <c r="E198" t="s">
        <v>239</v>
      </c>
    </row>
    <row r="199" spans="1:5" x14ac:dyDescent="0.3">
      <c r="A199">
        <v>198</v>
      </c>
      <c r="B199">
        <v>59</v>
      </c>
      <c r="C199" t="s">
        <v>230</v>
      </c>
      <c r="D199">
        <v>231.3</v>
      </c>
      <c r="E199" t="s">
        <v>241</v>
      </c>
    </row>
    <row r="200" spans="1:5" x14ac:dyDescent="0.3">
      <c r="A200">
        <v>199</v>
      </c>
      <c r="B200">
        <v>82</v>
      </c>
      <c r="C200" t="s">
        <v>237</v>
      </c>
      <c r="D200">
        <v>171.7</v>
      </c>
      <c r="E200" t="s">
        <v>233</v>
      </c>
    </row>
    <row r="201" spans="1:5" x14ac:dyDescent="0.3">
      <c r="A201">
        <v>200</v>
      </c>
      <c r="B201">
        <v>116</v>
      </c>
      <c r="C201" t="s">
        <v>238</v>
      </c>
      <c r="D201">
        <v>268.39999999999998</v>
      </c>
      <c r="E201" t="s">
        <v>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Sheet4</vt:lpstr>
      <vt:lpstr>Sheet5</vt:lpstr>
      <vt:lpstr>Patients</vt:lpstr>
      <vt:lpstr>Diagnosis</vt:lpstr>
      <vt:lpstr>Outcomes</vt:lpstr>
      <vt:lpstr>Labs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PIYUSH</dc:creator>
  <cp:lastModifiedBy>Piyush Meshram</cp:lastModifiedBy>
  <dcterms:created xsi:type="dcterms:W3CDTF">2026-10-01T18:23:01Z</dcterms:created>
  <dcterms:modified xsi:type="dcterms:W3CDTF">2026-10-01T19:23:48Z</dcterms:modified>
</cp:coreProperties>
</file>